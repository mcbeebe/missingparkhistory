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rint Overview" sheetId="1" state="visible" r:id="rId3"/>
    <sheet name="Task Backlog" sheetId="2" state="visible" r:id="rId4"/>
    <sheet name="SEO Keywords" sheetId="3" state="visible" r:id="rId5"/>
    <sheet name="Risks &amp; Dependenci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<sst xmlns="http://schemas.openxmlformats.org/spreadsheetml/2006/main" count="696" uniqueCount="312">
  <si>
    <t xml:space="preserve">MissingParkHistory.org — IT Project Plan</t>
  </si>
  <si>
    <t xml:space="preserve">Full Roadmap Refresh  |  Version 2.0  |  March 24, 2026  |  Sprints = ~5 min Claude Cowork/Code dev cycles</t>
  </si>
  <si>
    <t xml:space="preserve">Sprint</t>
  </si>
  <si>
    <t xml:space="preserve">Name</t>
  </si>
  <si>
    <t xml:space="preserve">Status</t>
  </si>
  <si>
    <t xml:space="preserve">Tasks</t>
  </si>
  <si>
    <t xml:space="preserve">Completed</t>
  </si>
  <si>
    <t xml:space="preserve">% Done</t>
  </si>
  <si>
    <t xml:space="preserve">Priority</t>
  </si>
  <si>
    <t xml:space="preserve">Notes</t>
  </si>
  <si>
    <t xml:space="preserve">Sprint 1</t>
  </si>
  <si>
    <t xml:space="preserve">Narrative Audit &amp; Data Fixes</t>
  </si>
  <si>
    <t xml:space="preserve">Done</t>
  </si>
  <si>
    <t xml:space="preserve">P0 — Critical</t>
  </si>
  <si>
    <t xml:space="preserve">Fix wrong park names, narratives, states. Commit eb8ffb4.</t>
  </si>
  <si>
    <t xml:space="preserve">Sprint 2</t>
  </si>
  <si>
    <t xml:space="preserve">Wayback Link Verification</t>
  </si>
  <si>
    <t xml:space="preserve">P1 — High</t>
  </si>
  <si>
    <t xml:space="preserve">Verify SOS Tracker links, add Wayback Machine URLs.</t>
  </si>
  <si>
    <t xml:space="preserve">Sprint 3</t>
  </si>
  <si>
    <t xml:space="preserve">Deep Linking &amp; Shareable URLs</t>
  </si>
  <si>
    <t xml:space="preserve">URL-addressable entries (e.g., /glacier/climate). Commit b24dc1c.</t>
  </si>
  <si>
    <t xml:space="preserve">Sprint 4</t>
  </si>
  <si>
    <t xml:space="preserve">SEO &amp; Social Meta Tags</t>
  </si>
  <si>
    <t xml:space="preserve">OG tags, Twitter cards, JSON-LD, favicon, og-image.png. Commit 8adb48d.</t>
  </si>
  <si>
    <t xml:space="preserve">Sprint 5</t>
  </si>
  <si>
    <t xml:space="preserve">Mobile Optimization</t>
  </si>
  <si>
    <t xml:space="preserve">Responsive layout, touch targets, carousel fix. Commit d0fc6bb.</t>
  </si>
  <si>
    <t xml:space="preserve">Sprint 6</t>
  </si>
  <si>
    <t xml:space="preserve">Photo Lightbox &amp; Multi-Select Filters</t>
  </si>
  <si>
    <t xml:space="preserve">Lightbox gallery, multi-select dropdowns, async data. Commit af78ba7.</t>
  </si>
  <si>
    <t xml:space="preserve">Sprint 7</t>
  </si>
  <si>
    <t xml:space="preserve">Take Action Feature</t>
  </si>
  <si>
    <t xml:space="preserve">Contact reps, clipboard copy, Resistbot, ZIP tracker. Commits c2dfa65–9c747df.</t>
  </si>
  <si>
    <t xml:space="preserve">Sprint 8</t>
  </si>
  <si>
    <t xml:space="preserve">SEO Phase 2 — Content Pages</t>
  </si>
  <si>
    <t xml:space="preserve">To Do</t>
  </si>
  <si>
    <t xml:space="preserve">Create /about and /data-methodology pages per SEO plan. High E-E-A-T value.</t>
  </si>
  <si>
    <t xml:space="preserve">Sprint 9</t>
  </si>
  <si>
    <t xml:space="preserve">SEO Phase 3 — Keyword &amp; Link Building</t>
  </si>
  <si>
    <t xml:space="preserve">Target keyword table, blog/explainer posts, pitch press outreach.</t>
  </si>
  <si>
    <t xml:space="preserve">Sprint 10</t>
  </si>
  <si>
    <t xml:space="preserve">Performance &amp; Data Split</t>
  </si>
  <si>
    <t xml:space="preserve">Split parkData into lazy-loaded JSON, lighthouse audit, caching headers.</t>
  </si>
  <si>
    <t xml:space="preserve">Sprint 11</t>
  </si>
  <si>
    <t xml:space="preserve">Analytics &amp; Search Console</t>
  </si>
  <si>
    <t xml:space="preserve">P2 — Medium</t>
  </si>
  <si>
    <t xml:space="preserve">Google Search Console, sitemap.xml, analytics integration.</t>
  </si>
  <si>
    <t xml:space="preserve">Sprint 12</t>
  </si>
  <si>
    <t xml:space="preserve">SSR Social Cards &amp; Advanced SEO</t>
  </si>
  <si>
    <t xml:space="preserve">Per-park OG cards via Cloudflare Workers, dynamic meta for deep links.</t>
  </si>
  <si>
    <t xml:space="preserve">TOTALS</t>
  </si>
  <si>
    <t xml:space="preserve">Detailed Task Backlog — All Sprints</t>
  </si>
  <si>
    <t xml:space="preserve">Task ID</t>
  </si>
  <si>
    <t xml:space="preserve">Task</t>
  </si>
  <si>
    <t xml:space="preserve">Est. (min)</t>
  </si>
  <si>
    <t xml:space="preserve">Owner</t>
  </si>
  <si>
    <t xml:space="preserve">Git Commit</t>
  </si>
  <si>
    <t xml:space="preserve">1.1</t>
  </si>
  <si>
    <t xml:space="preserve">Fix Rock Creek Park narrative (was Rocky Mtn NP)</t>
  </si>
  <si>
    <t xml:space="preserve">P0</t>
  </si>
  <si>
    <t xml:space="preserve">Claude</t>
  </si>
  <si>
    <t xml:space="preserve">05b0f7a</t>
  </si>
  <si>
    <t xml:space="preserve">1.2</t>
  </si>
  <si>
    <t xml:space="preserve">Fix 6 park entries with wrong names/narratives</t>
  </si>
  <si>
    <t xml:space="preserve">eb8ffb4</t>
  </si>
  <si>
    <t xml:space="preserve">1.3</t>
  </si>
  <si>
    <t xml:space="preserve">Label FWS photos as Sierra Club exhibit docs</t>
  </si>
  <si>
    <t xml:space="preserve">P1</t>
  </si>
  <si>
    <t xml:space="preserve">f516294</t>
  </si>
  <si>
    <t xml:space="preserve">1.4</t>
  </si>
  <si>
    <t xml:space="preserve">Wire FWS-001/FWS-009 exhibit photos</t>
  </si>
  <si>
    <t xml:space="preserve">f1ef964</t>
  </si>
  <si>
    <t xml:space="preserve">1.5</t>
  </si>
  <si>
    <t xml:space="preserve">Add after + restored photos from SOS Tracker</t>
  </si>
  <si>
    <t xml:space="preserve">9fce924</t>
  </si>
  <si>
    <t xml:space="preserve">1.6</t>
  </si>
  <si>
    <t xml:space="preserve">Fix Entry #386 Belmont-Paul NM</t>
  </si>
  <si>
    <t xml:space="preserve">2596e3a</t>
  </si>
  <si>
    <t xml:space="preserve">1.7</t>
  </si>
  <si>
    <t xml:space="preserve">Fix Theodore Roosevelt NP location MT→ND</t>
  </si>
  <si>
    <t xml:space="preserve">58692d5</t>
  </si>
  <si>
    <t xml:space="preserve">1.8</t>
  </si>
  <si>
    <t xml:space="preserve">Fix Unknown Park placeholders in 4 entries</t>
  </si>
  <si>
    <t xml:space="preserve">b40603a</t>
  </si>
  <si>
    <t xml:space="preserve">2.1</t>
  </si>
  <si>
    <t xml:space="preserve">Audit SOS Tracker Wayback links</t>
  </si>
  <si>
    <t xml:space="preserve">2.2</t>
  </si>
  <si>
    <t xml:space="preserve">Add missing Wayback Machine URLs</t>
  </si>
  <si>
    <t xml:space="preserve">2.3</t>
  </si>
  <si>
    <t xml:space="preserve">Verify before/after photo URLs resolve</t>
  </si>
  <si>
    <t xml:space="preserve">2.4</t>
  </si>
  <si>
    <t xml:space="preserve">Clean broken image references</t>
  </si>
  <si>
    <t xml:space="preserve">P2</t>
  </si>
  <si>
    <t xml:space="preserve">2.5</t>
  </si>
  <si>
    <t xml:space="preserve">QA all links in parkData</t>
  </si>
  <si>
    <t xml:space="preserve">3.1</t>
  </si>
  <si>
    <t xml:space="preserve">Build deep link URL scheme (?park=X)</t>
  </si>
  <si>
    <t xml:space="preserve">b24dc1c</t>
  </si>
  <si>
    <t xml:space="preserve">3.2</t>
  </si>
  <si>
    <t xml:space="preserve">Parse URL params on page load</t>
  </si>
  <si>
    <t xml:space="preserve">3.3</t>
  </si>
  <si>
    <t xml:space="preserve">Auto-open panel for deep-linked entry</t>
  </si>
  <si>
    <t xml:space="preserve">3.4</t>
  </si>
  <si>
    <t xml:space="preserve">Update URL on panel open (pushState)</t>
  </si>
  <si>
    <t xml:space="preserve">3.5</t>
  </si>
  <si>
    <t xml:space="preserve">Add Share button with copy-to-clipboard</t>
  </si>
  <si>
    <t xml:space="preserve">3.6</t>
  </si>
  <si>
    <t xml:space="preserve">Test deep links across browsers</t>
  </si>
  <si>
    <t xml:space="preserve">4.1</t>
  </si>
  <si>
    <t xml:space="preserve">Add &lt;title&gt; tag with primary keyword</t>
  </si>
  <si>
    <t xml:space="preserve">8adb48d</t>
  </si>
  <si>
    <t xml:space="preserve">SEO Plan §1</t>
  </si>
  <si>
    <t xml:space="preserve">4.2</t>
  </si>
  <si>
    <t xml:space="preserve">Add meta description (155 chars)</t>
  </si>
  <si>
    <t xml:space="preserve">4.3</t>
  </si>
  <si>
    <t xml:space="preserve">Add Open Graph tags (title, desc, image, url)</t>
  </si>
  <si>
    <t xml:space="preserve">SEO Plan §2</t>
  </si>
  <si>
    <t xml:space="preserve">4.4</t>
  </si>
  <si>
    <t xml:space="preserve">Add Twitter Card tags (summary_large_image)</t>
  </si>
  <si>
    <t xml:space="preserve">SEO Plan §3</t>
  </si>
  <si>
    <t xml:space="preserve">4.5</t>
  </si>
  <si>
    <t xml:space="preserve">Add canonical URL + robots directive</t>
  </si>
  <si>
    <t xml:space="preserve">4.6</t>
  </si>
  <si>
    <t xml:space="preserve">Add inline SVG favicon</t>
  </si>
  <si>
    <t xml:space="preserve">SEO Plan §4</t>
  </si>
  <si>
    <t xml:space="preserve">4.7</t>
  </si>
  <si>
    <t xml:space="preserve">Add JSON-LD structured data (WebApplication)</t>
  </si>
  <si>
    <t xml:space="preserve">SEO Plan §5</t>
  </si>
  <si>
    <t xml:space="preserve">4.8</t>
  </si>
  <si>
    <t xml:space="preserve">Create og-image.png (1200×630 social card)</t>
  </si>
  <si>
    <t xml:space="preserve">SEO Plan §6</t>
  </si>
  <si>
    <t xml:space="preserve">5.1</t>
  </si>
  <si>
    <t xml:space="preserve">Responsive CSS for mobile viewports</t>
  </si>
  <si>
    <t xml:space="preserve">d0fc6bb</t>
  </si>
  <si>
    <t xml:space="preserve">5.2</t>
  </si>
  <si>
    <t xml:space="preserve">Touch-friendly tap targets (44px min)</t>
  </si>
  <si>
    <t xml:space="preserve">5.3</t>
  </si>
  <si>
    <t xml:space="preserve">Fix carousel arrow navigation bug</t>
  </si>
  <si>
    <t xml:space="preserve">5.4</t>
  </si>
  <si>
    <t xml:space="preserve">Stack filters at top on mobile</t>
  </si>
  <si>
    <t xml:space="preserve">7c6644e</t>
  </si>
  <si>
    <t xml:space="preserve">5.5</t>
  </si>
  <si>
    <t xml:space="preserve">Legend at bottom on mobile</t>
  </si>
  <si>
    <t xml:space="preserve">5.6</t>
  </si>
  <si>
    <t xml:space="preserve">Fix dropdown option contrast</t>
  </si>
  <si>
    <t xml:space="preserve">f2cd85c</t>
  </si>
  <si>
    <t xml:space="preserve">5.7</t>
  </si>
  <si>
    <t xml:space="preserve">Compact embed mode layout</t>
  </si>
  <si>
    <t xml:space="preserve">5dcdde2</t>
  </si>
  <si>
    <t xml:space="preserve">6.1</t>
  </si>
  <si>
    <t xml:space="preserve">Photo lightbox with prev/next navigation</t>
  </si>
  <si>
    <t xml:space="preserve">af78ba7</t>
  </si>
  <si>
    <t xml:space="preserve">6.2</t>
  </si>
  <si>
    <t xml:space="preserve">Multi-select filter dropdowns</t>
  </si>
  <si>
    <t xml:space="preserve">6.3</t>
  </si>
  <si>
    <t xml:space="preserve">Async data loading for parkData</t>
  </si>
  <si>
    <t xml:space="preserve">6.4</t>
  </si>
  <si>
    <t xml:space="preserve">Add 'Has Photos' media filter</t>
  </si>
  <si>
    <t xml:space="preserve">7ee065c</t>
  </si>
  <si>
    <t xml:space="preserve">6.5</t>
  </si>
  <si>
    <t xml:space="preserve">Fix Entry #904 (Voyageurs NP)</t>
  </si>
  <si>
    <t xml:space="preserve">6.6</t>
  </si>
  <si>
    <t xml:space="preserve">Normalize FWS topic names</t>
  </si>
  <si>
    <t xml:space="preserve">432cd00</t>
  </si>
  <si>
    <t xml:space="preserve">6.7</t>
  </si>
  <si>
    <t xml:space="preserve">Fix filter chip z-index/overlap issues</t>
  </si>
  <si>
    <t xml:space="preserve">b440e56</t>
  </si>
  <si>
    <t xml:space="preserve">6.8</t>
  </si>
  <si>
    <t xml:space="preserve">Fix NTR filter from spreadsheet</t>
  </si>
  <si>
    <t xml:space="preserve">0878127</t>
  </si>
  <si>
    <t xml:space="preserve">6.9</t>
  </si>
  <si>
    <t xml:space="preserve">Fix critical scope/safety issues</t>
  </si>
  <si>
    <t xml:space="preserve">7851445</t>
  </si>
  <si>
    <t xml:space="preserve">7.1</t>
  </si>
  <si>
    <t xml:space="preserve">Build Take Action button UI</t>
  </si>
  <si>
    <t xml:space="preserve">c2dfa65</t>
  </si>
  <si>
    <t xml:space="preserve">7.2</t>
  </si>
  <si>
    <t xml:space="preserve">Clipboard copy for rep contact info</t>
  </si>
  <si>
    <t xml:space="preserve">59fed60</t>
  </si>
  <si>
    <t xml:space="preserve">7.3</t>
  </si>
  <si>
    <t xml:space="preserve">Contact form links for reps</t>
  </si>
  <si>
    <t xml:space="preserve">7.4</t>
  </si>
  <si>
    <t xml:space="preserve">Resistbot integration</t>
  </si>
  <si>
    <t xml:space="preserve">7.5</t>
  </si>
  <si>
    <t xml:space="preserve">Rebuild reps from House Clerk data</t>
  </si>
  <si>
    <t xml:space="preserve">72860ff</t>
  </si>
  <si>
    <t xml:space="preserve">7.6</t>
  </si>
  <si>
    <t xml:space="preserve">Build zipToDistrict from Census crosswalk</t>
  </si>
  <si>
    <t xml:space="preserve">7.7</t>
  </si>
  <si>
    <t xml:space="preserve">ZIP code tracker (hidden admin panel)</t>
  </si>
  <si>
    <t xml:space="preserve">3cda10f</t>
  </si>
  <si>
    <t xml:space="preserve">7.8</t>
  </si>
  <si>
    <t xml:space="preserve">Fix 20 stale reps</t>
  </si>
  <si>
    <t xml:space="preserve">7.9</t>
  </si>
  <si>
    <t xml:space="preserve">Reposition buttons below zoom controls</t>
  </si>
  <si>
    <t xml:space="preserve">1f32a73</t>
  </si>
  <si>
    <t xml:space="preserve">7.10</t>
  </si>
  <si>
    <t xml:space="preserve">Add Huffman signer detection</t>
  </si>
  <si>
    <t xml:space="preserve">9c747df</t>
  </si>
  <si>
    <t xml:space="preserve">8.1</t>
  </si>
  <si>
    <t xml:space="preserve">Create /about page (project story, sourcing)</t>
  </si>
  <si>
    <t xml:space="preserve">SEO Plan §2 — Builds E-E-A-T</t>
  </si>
  <si>
    <t xml:space="preserve">8.2</t>
  </si>
  <si>
    <t xml:space="preserve">Create /data-methodology page</t>
  </si>
  <si>
    <t xml:space="preserve">SEO Plan §2 — Explain leaked DB, Wayback</t>
  </si>
  <si>
    <t xml:space="preserve">8.3</t>
  </si>
  <si>
    <t xml:space="preserve">Link coverage articles on /about</t>
  </si>
  <si>
    <t xml:space="preserve">Outside Mag, Condé Nast Traveler backlinks</t>
  </si>
  <si>
    <t xml:space="preserve">8.4</t>
  </si>
  <si>
    <t xml:space="preserve">Add dynamic document.title in openPanel()</t>
  </si>
  <si>
    <t xml:space="preserve">SEO Plan — improves tab/bookmarks</t>
  </si>
  <si>
    <t xml:space="preserve">8.5</t>
  </si>
  <si>
    <t xml:space="preserve">Reset document.title in closePanel()</t>
  </si>
  <si>
    <t xml:space="preserve">8.6</t>
  </si>
  <si>
    <t xml:space="preserve">QA all new pages for mobile + accessibility</t>
  </si>
  <si>
    <t xml:space="preserve">9.1</t>
  </si>
  <si>
    <t xml:space="preserve">Write 'NPS censorship' explainer/blog post</t>
  </si>
  <si>
    <t xml:space="preserve">SEO Plan keyword table — Medium volume</t>
  </si>
  <si>
    <t xml:space="preserve">9.2</t>
  </si>
  <si>
    <t xml:space="preserve">Write 'SO 3431' policy framework page</t>
  </si>
  <si>
    <t xml:space="preserve">Niche but high-intent keyword</t>
  </si>
  <si>
    <t xml:space="preserve">9.3</t>
  </si>
  <si>
    <t xml:space="preserve">Create individual park pages for top entries</t>
  </si>
  <si>
    <t xml:space="preserve">Biggest SEO opportunity per plan</t>
  </si>
  <si>
    <t xml:space="preserve">9.4</t>
  </si>
  <si>
    <t xml:space="preserve">Pitch to press: Outside, Guardian, Grist, local papers</t>
  </si>
  <si>
    <t xml:space="preserve">Mike</t>
  </si>
  <si>
    <t xml:space="preserve">N/A</t>
  </si>
  <si>
    <t xml:space="preserve">SEO Plan §4 — link building</t>
  </si>
  <si>
    <t xml:space="preserve">9.5</t>
  </si>
  <si>
    <t xml:space="preserve">Post to Reddit r/NationalPark, r/camping</t>
  </si>
  <si>
    <t xml:space="preserve">SEO Plan §4 — viral + backlinks</t>
  </si>
  <si>
    <t xml:space="preserve">10.1</t>
  </si>
  <si>
    <t xml:space="preserve">Split parkData into lazy-loaded JSON chunks</t>
  </si>
  <si>
    <t xml:space="preserve">Currently all inline in index.html</t>
  </si>
  <si>
    <t xml:space="preserve">10.2</t>
  </si>
  <si>
    <t xml:space="preserve">Run Lighthouse audit and fix top issues</t>
  </si>
  <si>
    <t xml:space="preserve">10.3</t>
  </si>
  <si>
    <t xml:space="preserve">Add caching headers / service worker</t>
  </si>
  <si>
    <t xml:space="preserve">10.4</t>
  </si>
  <si>
    <t xml:space="preserve">Optimize image loading (lazy load, WebP)</t>
  </si>
  <si>
    <t xml:space="preserve">10.5</t>
  </si>
  <si>
    <t xml:space="preserve">Minify CSS/JS in index.html</t>
  </si>
  <si>
    <t xml:space="preserve">10.6</t>
  </si>
  <si>
    <t xml:space="preserve">Verify sub-3s load on mobile 3G</t>
  </si>
  <si>
    <t xml:space="preserve">11.1</t>
  </si>
  <si>
    <t xml:space="preserve">Submit sitemap.xml to Google Search Console</t>
  </si>
  <si>
    <t xml:space="preserve">11.2</t>
  </si>
  <si>
    <t xml:space="preserve">Generate sitemap.xml from parkData</t>
  </si>
  <si>
    <t xml:space="preserve">11.3</t>
  </si>
  <si>
    <t xml:space="preserve">Add privacy-respecting analytics (Plausible/Umami)</t>
  </si>
  <si>
    <t xml:space="preserve">11.4</t>
  </si>
  <si>
    <t xml:space="preserve">Monitor Search Console for crawl errors</t>
  </si>
  <si>
    <t xml:space="preserve">Ongoing</t>
  </si>
  <si>
    <t xml:space="preserve">12.1</t>
  </si>
  <si>
    <t xml:space="preserve">Set up Cloudflare Worker for SSR meta tags</t>
  </si>
  <si>
    <t xml:space="preserve">Per-park social cards</t>
  </si>
  <si>
    <t xml:space="preserve">12.2</t>
  </si>
  <si>
    <t xml:space="preserve">Generate per-park OG images dynamically</t>
  </si>
  <si>
    <t xml:space="preserve">12.3</t>
  </si>
  <si>
    <t xml:space="preserve">Test with Facebook/Twitter/LinkedIn validators</t>
  </si>
  <si>
    <t xml:space="preserve">SEO Plan checklist §4</t>
  </si>
  <si>
    <t xml:space="preserve">12.4</t>
  </si>
  <si>
    <t xml:space="preserve">Clear social platform caches</t>
  </si>
  <si>
    <t xml:space="preserve">Facebook debugger re-scrape</t>
  </si>
  <si>
    <t xml:space="preserve">12.5</t>
  </si>
  <si>
    <t xml:space="preserve">Implement Dataset schema.org markup</t>
  </si>
  <si>
    <t xml:space="preserve">SEO Plan §5 — Dataset schema</t>
  </si>
  <si>
    <t xml:space="preserve">SEO Keyword Targets — from SEO Strategy &amp; Action Plan v1.0</t>
  </si>
  <si>
    <t xml:space="preserve">Target Keyword</t>
  </si>
  <si>
    <t xml:space="preserve">Search Volume</t>
  </si>
  <si>
    <t xml:space="preserve">Your Play</t>
  </si>
  <si>
    <t xml:space="preserve">"national park signs removed"</t>
  </si>
  <si>
    <t xml:space="preserve">High &amp; rising</t>
  </si>
  <si>
    <t xml:space="preserve">Homepage already targets this — you own #1</t>
  </si>
  <si>
    <t xml:space="preserve">Sprint 4 (Done)</t>
  </si>
  <si>
    <t xml:space="preserve">"NPS censorship"</t>
  </si>
  <si>
    <t xml:space="preserve">Medium</t>
  </si>
  <si>
    <t xml:space="preserve">Blog post or explainer page</t>
  </si>
  <si>
    <t xml:space="preserve">[individual park name] + history</t>
  </si>
  <si>
    <t xml:space="preserve">Low per park; huge in aggregate</t>
  </si>
  <si>
    <t xml:space="preserve">Individual park pages — biggest SEO opportunity</t>
  </si>
  <si>
    <t xml:space="preserve">"save national parks"</t>
  </si>
  <si>
    <t xml:space="preserve">Explainer showing how site complements SOS campaigns</t>
  </si>
  <si>
    <t xml:space="preserve">"SO 3431" / "secretarial order 3431"</t>
  </si>
  <si>
    <t xml:space="preserve">Niche but high-intent</t>
  </si>
  <si>
    <t xml:space="preserve">Content on the legal/policy framework</t>
  </si>
  <si>
    <t xml:space="preserve">Risk Register &amp; Dependencies</t>
  </si>
  <si>
    <t xml:space="preserve">Risk / Dependency</t>
  </si>
  <si>
    <t xml:space="preserve">Impact</t>
  </si>
  <si>
    <t xml:space="preserve">Likelihood</t>
  </si>
  <si>
    <t xml:space="preserve">Mitigation</t>
  </si>
  <si>
    <t xml:space="preserve">Affects Sprint</t>
  </si>
  <si>
    <t xml:space="preserve">Social crawlers don't execute JS — deep link meta tags show generic info</t>
  </si>
  <si>
    <t xml:space="preserve">Certain</t>
  </si>
  <si>
    <t xml:space="preserve">Sprint 12 adds SSR via Cloudflare Workers</t>
  </si>
  <si>
    <t xml:space="preserve">Press outreach requires manual follow-up (not automatable)</t>
  </si>
  <si>
    <t xml:space="preserve">High</t>
  </si>
  <si>
    <t xml:space="preserve">Mike owns outreach; Claude drafts pitch templates</t>
  </si>
  <si>
    <t xml:space="preserve">Google Search Console requires domain verification</t>
  </si>
  <si>
    <t xml:space="preserve">Low</t>
  </si>
  <si>
    <t xml:space="preserve">Mike verifies via DNS TXT record</t>
  </si>
  <si>
    <t xml:space="preserve">parkData inline in index.html causes slow initial load</t>
  </si>
  <si>
    <t xml:space="preserve">Sprint 10 splits into lazy-loaded JSON</t>
  </si>
  <si>
    <t xml:space="preserve">Facebook OG cache may show stale previews after tag updates</t>
  </si>
  <si>
    <t xml:space="preserve">Use Facebook Debugger to re-scrape after deploy</t>
  </si>
  <si>
    <t xml:space="preserve">Individual park pages could be thousands of routes</t>
  </si>
  <si>
    <t xml:space="preserve">Start with top 20 entries by photo count; expand iteratively</t>
  </si>
  <si>
    <t xml:space="preserve">Rep data goes stale as Congress changes</t>
  </si>
  <si>
    <t xml:space="preserve">Rebuild from House Clerk data periodically</t>
  </si>
  <si>
    <t xml:space="preserve">Sprint 7 (ongoing)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</si>
</sst>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D5D8D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E0E0E0"/>
      <name val="Arial"/>
      <family val="0"/>
      <charset val="1"/>
    </font>
    <font>
      <b val="true"/>
      <sz val="10"/>
      <color rgb="FF27AE60"/>
      <name val="Arial"/>
      <family val="0"/>
      <charset val="1"/>
    </font>
    <font>
      <b val="true"/>
      <sz val="10"/>
      <color rgb="FFD5D8D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3498DB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16213E"/>
        <bgColor rgb="FF1A1A2E"/>
      </patternFill>
    </fill>
    <fill>
      <patternFill patternType="solid">
        <fgColor rgb="FF0D7377"/>
        <bgColor rgb="FF008080"/>
      </patternFill>
    </fill>
    <fill>
      <patternFill patternType="solid">
        <fgColor rgb="FF2C3E50"/>
        <bgColor rgb="FF3A3A5C"/>
      </patternFill>
    </fill>
    <fill>
      <patternFill patternType="solid">
        <fgColor rgb="FF0F3460"/>
        <bgColor rgb="FF2C3E5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3A3A5C"/>
      </left>
      <right style="thin">
        <color rgb="FF3A3A5C"/>
      </right>
      <top style="thin">
        <color rgb="FF3A3A5C"/>
      </top>
      <bottom style="thin">
        <color rgb="FF3A3A5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7377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0E0E0"/>
      <rgbColor rgb="FFFFFF99"/>
      <rgbColor rgb="FF99CCFF"/>
      <rgbColor rgb="FFFF99CC"/>
      <rgbColor rgb="FFCC99FF"/>
      <rgbColor rgb="FFFFCC99"/>
      <rgbColor rgb="FF3498DB"/>
      <rgbColor rgb="FF33CCCC"/>
      <rgbColor rgb="FF99CC00"/>
      <rgbColor rgb="FFF1C40F"/>
      <rgbColor rgb="FFFF9900"/>
      <rgbColor rgb="FFE94560"/>
      <rgbColor rgb="FF666699"/>
      <rgbColor rgb="FF969696"/>
      <rgbColor rgb="FF0F3460"/>
      <rgbColor rgb="FF27AE60"/>
      <rgbColor rgb="FF16213E"/>
      <rgbColor rgb="FF1A1A2E"/>
      <rgbColor rgb="FF993300"/>
      <rgbColor rgb="FF993366"/>
      <rgbColor rgb="FF3A3A5C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94560"/>
    <pageSetUpPr fitToPage="false"/>
  </sheetPr>
  <dimension ref="A1:H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65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4" t="s">
        <v>11</v>
      </c>
      <c r="C5" s="5" t="s">
        <v>12</v>
      </c>
      <c r="D5" s="4" t="n">
        <v>8</v>
      </c>
      <c r="E5" s="4" t="n">
        <v>8</v>
      </c>
      <c r="F5" s="6" t="n">
        <f aca="false">IF(D5=0,0,E5/D5)</f>
        <v>1</v>
      </c>
      <c r="G5" s="4" t="s">
        <v>13</v>
      </c>
      <c r="H5" s="4" t="s">
        <v>14</v>
      </c>
    </row>
    <row r="6" customFormat="false" ht="15" hidden="false" customHeight="false" outlineLevel="0" collapsed="false">
      <c r="A6" s="4" t="s">
        <v>15</v>
      </c>
      <c r="B6" s="4" t="s">
        <v>16</v>
      </c>
      <c r="C6" s="5" t="s">
        <v>12</v>
      </c>
      <c r="D6" s="4" t="n">
        <v>5</v>
      </c>
      <c r="E6" s="4" t="n">
        <v>5</v>
      </c>
      <c r="F6" s="6" t="n">
        <f aca="false">IF(D6=0,0,E6/D6)</f>
        <v>1</v>
      </c>
      <c r="G6" s="4" t="s">
        <v>17</v>
      </c>
      <c r="H6" s="4" t="s">
        <v>18</v>
      </c>
    </row>
    <row r="7" customFormat="false" ht="15" hidden="false" customHeight="false" outlineLevel="0" collapsed="false">
      <c r="A7" s="4" t="s">
        <v>19</v>
      </c>
      <c r="B7" s="4" t="s">
        <v>20</v>
      </c>
      <c r="C7" s="5" t="s">
        <v>12</v>
      </c>
      <c r="D7" s="4" t="n">
        <v>6</v>
      </c>
      <c r="E7" s="4" t="n">
        <v>6</v>
      </c>
      <c r="F7" s="6" t="n">
        <f aca="false">IF(D7=0,0,E7/D7)</f>
        <v>1</v>
      </c>
      <c r="G7" s="4" t="s">
        <v>13</v>
      </c>
      <c r="H7" s="4" t="s">
        <v>21</v>
      </c>
    </row>
    <row r="8" customFormat="false" ht="15" hidden="false" customHeight="false" outlineLevel="0" collapsed="false">
      <c r="A8" s="4" t="s">
        <v>22</v>
      </c>
      <c r="B8" s="4" t="s">
        <v>23</v>
      </c>
      <c r="C8" s="5" t="s">
        <v>12</v>
      </c>
      <c r="D8" s="4" t="n">
        <v>8</v>
      </c>
      <c r="E8" s="4" t="n">
        <v>8</v>
      </c>
      <c r="F8" s="6" t="n">
        <f aca="false">IF(D8=0,0,E8/D8)</f>
        <v>1</v>
      </c>
      <c r="G8" s="4" t="s">
        <v>13</v>
      </c>
      <c r="H8" s="4" t="s">
        <v>24</v>
      </c>
    </row>
    <row r="9" customFormat="false" ht="15" hidden="false" customHeight="false" outlineLevel="0" collapsed="false">
      <c r="A9" s="4" t="s">
        <v>25</v>
      </c>
      <c r="B9" s="4" t="s">
        <v>26</v>
      </c>
      <c r="C9" s="5" t="s">
        <v>12</v>
      </c>
      <c r="D9" s="4" t="n">
        <v>7</v>
      </c>
      <c r="E9" s="4" t="n">
        <v>7</v>
      </c>
      <c r="F9" s="6" t="n">
        <f aca="false">IF(D9=0,0,E9/D9)</f>
        <v>1</v>
      </c>
      <c r="G9" s="4" t="s">
        <v>13</v>
      </c>
      <c r="H9" s="4" t="s">
        <v>27</v>
      </c>
    </row>
    <row r="10" customFormat="false" ht="15" hidden="false" customHeight="false" outlineLevel="0" collapsed="false">
      <c r="A10" s="4" t="s">
        <v>28</v>
      </c>
      <c r="B10" s="4" t="s">
        <v>29</v>
      </c>
      <c r="C10" s="5" t="s">
        <v>12</v>
      </c>
      <c r="D10" s="4" t="n">
        <v>9</v>
      </c>
      <c r="E10" s="4" t="n">
        <v>9</v>
      </c>
      <c r="F10" s="6" t="n">
        <f aca="false">IF(D10=0,0,E10/D10)</f>
        <v>1</v>
      </c>
      <c r="G10" s="4" t="s">
        <v>17</v>
      </c>
      <c r="H10" s="4" t="s">
        <v>30</v>
      </c>
    </row>
    <row r="11" customFormat="false" ht="15" hidden="false" customHeight="false" outlineLevel="0" collapsed="false">
      <c r="A11" s="4" t="s">
        <v>31</v>
      </c>
      <c r="B11" s="4" t="s">
        <v>32</v>
      </c>
      <c r="C11" s="5" t="s">
        <v>12</v>
      </c>
      <c r="D11" s="4" t="n">
        <v>10</v>
      </c>
      <c r="E11" s="4" t="n">
        <v>10</v>
      </c>
      <c r="F11" s="6" t="n">
        <f aca="false">IF(D11=0,0,E11/D11)</f>
        <v>1</v>
      </c>
      <c r="G11" s="4" t="s">
        <v>17</v>
      </c>
      <c r="H11" s="4" t="s">
        <v>33</v>
      </c>
    </row>
    <row r="12" customFormat="false" ht="15" hidden="false" customHeight="false" outlineLevel="0" collapsed="false">
      <c r="A12" s="7" t="s">
        <v>34</v>
      </c>
      <c r="B12" s="7" t="s">
        <v>35</v>
      </c>
      <c r="C12" s="8" t="s">
        <v>36</v>
      </c>
      <c r="D12" s="7" t="n">
        <v>6</v>
      </c>
      <c r="E12" s="7" t="n">
        <v>0</v>
      </c>
      <c r="F12" s="9" t="n">
        <f aca="false">IF(D12=0,0,E12/D12)</f>
        <v>0</v>
      </c>
      <c r="G12" s="7" t="s">
        <v>13</v>
      </c>
      <c r="H12" s="7" t="s">
        <v>37</v>
      </c>
    </row>
    <row r="13" customFormat="false" ht="15" hidden="false" customHeight="false" outlineLevel="0" collapsed="false">
      <c r="A13" s="7" t="s">
        <v>38</v>
      </c>
      <c r="B13" s="7" t="s">
        <v>39</v>
      </c>
      <c r="C13" s="8" t="s">
        <v>36</v>
      </c>
      <c r="D13" s="7" t="n">
        <v>5</v>
      </c>
      <c r="E13" s="7" t="n">
        <v>0</v>
      </c>
      <c r="F13" s="9" t="n">
        <f aca="false">IF(D13=0,0,E13/D13)</f>
        <v>0</v>
      </c>
      <c r="G13" s="7" t="s">
        <v>17</v>
      </c>
      <c r="H13" s="7" t="s">
        <v>40</v>
      </c>
    </row>
    <row r="14" customFormat="false" ht="15" hidden="false" customHeight="false" outlineLevel="0" collapsed="false">
      <c r="A14" s="7" t="s">
        <v>41</v>
      </c>
      <c r="B14" s="7" t="s">
        <v>42</v>
      </c>
      <c r="C14" s="8" t="s">
        <v>36</v>
      </c>
      <c r="D14" s="7" t="n">
        <v>6</v>
      </c>
      <c r="E14" s="7" t="n">
        <v>0</v>
      </c>
      <c r="F14" s="9" t="n">
        <f aca="false">IF(D14=0,0,E14/D14)</f>
        <v>0</v>
      </c>
      <c r="G14" s="7" t="s">
        <v>17</v>
      </c>
      <c r="H14" s="7" t="s">
        <v>43</v>
      </c>
    </row>
    <row r="15" customFormat="false" ht="15" hidden="false" customHeight="false" outlineLevel="0" collapsed="false">
      <c r="A15" s="7" t="s">
        <v>44</v>
      </c>
      <c r="B15" s="7" t="s">
        <v>45</v>
      </c>
      <c r="C15" s="8" t="s">
        <v>36</v>
      </c>
      <c r="D15" s="7" t="n">
        <v>4</v>
      </c>
      <c r="E15" s="7" t="n">
        <v>0</v>
      </c>
      <c r="F15" s="9" t="n">
        <f aca="false">IF(D15=0,0,E15/D15)</f>
        <v>0</v>
      </c>
      <c r="G15" s="7" t="s">
        <v>46</v>
      </c>
      <c r="H15" s="7" t="s">
        <v>47</v>
      </c>
    </row>
    <row r="16" customFormat="false" ht="15" hidden="false" customHeight="false" outlineLevel="0" collapsed="false">
      <c r="A16" s="7" t="s">
        <v>48</v>
      </c>
      <c r="B16" s="7" t="s">
        <v>49</v>
      </c>
      <c r="C16" s="8" t="s">
        <v>36</v>
      </c>
      <c r="D16" s="7" t="n">
        <v>5</v>
      </c>
      <c r="E16" s="7" t="n">
        <v>0</v>
      </c>
      <c r="F16" s="9" t="n">
        <f aca="false">IF(D16=0,0,E16/D16)</f>
        <v>0</v>
      </c>
      <c r="G16" s="7" t="s">
        <v>46</v>
      </c>
      <c r="H16" s="7" t="s">
        <v>50</v>
      </c>
    </row>
    <row r="18" customFormat="false" ht="15" hidden="false" customHeight="false" outlineLevel="0" collapsed="false">
      <c r="A18" s="10" t="s">
        <v>51</v>
      </c>
      <c r="B18" s="10"/>
      <c r="C18" s="10"/>
      <c r="D18" s="10" t="n">
        <f aca="false">SUM(D5:D16)</f>
        <v>79</v>
      </c>
      <c r="E18" s="10" t="n">
        <f aca="false">SUM(E5:E16)</f>
        <v>53</v>
      </c>
      <c r="F18" s="11" t="n">
        <f aca="false">IF(D18=0,0,E18/D18)</f>
        <v>0.670886075949367</v>
      </c>
      <c r="G18" s="10"/>
      <c r="H18" s="10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498DB"/>
    <pageSetUpPr fitToPage="false"/>
  </sheetPr>
  <dimension ref="A1:I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52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48"/>
  </cols>
  <sheetData>
    <row r="1" customFormat="false" ht="30" hidden="false" customHeight="true" outlineLevel="0" collapsed="false">
      <c r="A1" s="12" t="s">
        <v>52</v>
      </c>
      <c r="B1" s="12"/>
      <c r="C1" s="12"/>
      <c r="D1" s="12"/>
      <c r="E1" s="12"/>
      <c r="F1" s="12"/>
      <c r="G1" s="12"/>
      <c r="H1" s="12"/>
      <c r="I1" s="12"/>
    </row>
    <row r="3" customFormat="false" ht="15" hidden="false" customHeight="false" outlineLevel="0" collapsed="false">
      <c r="A3" s="3" t="s">
        <v>2</v>
      </c>
      <c r="B3" s="3" t="s">
        <v>53</v>
      </c>
      <c r="C3" s="3" t="s">
        <v>54</v>
      </c>
      <c r="D3" s="3" t="s">
        <v>4</v>
      </c>
      <c r="E3" s="3" t="s">
        <v>8</v>
      </c>
      <c r="F3" s="3" t="s">
        <v>55</v>
      </c>
      <c r="G3" s="3" t="s">
        <v>56</v>
      </c>
      <c r="H3" s="3" t="s">
        <v>57</v>
      </c>
      <c r="I3" s="3" t="s">
        <v>9</v>
      </c>
    </row>
    <row r="4" customFormat="false" ht="15" hidden="false" customHeight="false" outlineLevel="0" collapsed="false">
      <c r="A4" s="13" t="s">
        <v>10</v>
      </c>
      <c r="B4" s="4" t="s">
        <v>58</v>
      </c>
      <c r="C4" s="4" t="s">
        <v>59</v>
      </c>
      <c r="D4" s="5" t="s">
        <v>12</v>
      </c>
      <c r="E4" s="4" t="s">
        <v>60</v>
      </c>
      <c r="F4" s="4" t="n">
        <v>1</v>
      </c>
      <c r="G4" s="4" t="s">
        <v>61</v>
      </c>
      <c r="H4" s="4" t="s">
        <v>62</v>
      </c>
      <c r="I4" s="4"/>
    </row>
    <row r="5" customFormat="false" ht="15" hidden="false" customHeight="false" outlineLevel="0" collapsed="false">
      <c r="A5" s="4" t="s">
        <v>10</v>
      </c>
      <c r="B5" s="4" t="s">
        <v>63</v>
      </c>
      <c r="C5" s="4" t="s">
        <v>64</v>
      </c>
      <c r="D5" s="5" t="s">
        <v>12</v>
      </c>
      <c r="E5" s="4" t="s">
        <v>60</v>
      </c>
      <c r="F5" s="4" t="n">
        <v>2</v>
      </c>
      <c r="G5" s="4" t="s">
        <v>61</v>
      </c>
      <c r="H5" s="4" t="s">
        <v>65</v>
      </c>
      <c r="I5" s="4"/>
    </row>
    <row r="6" customFormat="false" ht="15" hidden="false" customHeight="false" outlineLevel="0" collapsed="false">
      <c r="A6" s="4" t="s">
        <v>10</v>
      </c>
      <c r="B6" s="4" t="s">
        <v>66</v>
      </c>
      <c r="C6" s="4" t="s">
        <v>67</v>
      </c>
      <c r="D6" s="5" t="s">
        <v>12</v>
      </c>
      <c r="E6" s="4" t="s">
        <v>68</v>
      </c>
      <c r="F6" s="4" t="n">
        <v>1</v>
      </c>
      <c r="G6" s="4" t="s">
        <v>61</v>
      </c>
      <c r="H6" s="4" t="s">
        <v>69</v>
      </c>
      <c r="I6" s="4"/>
    </row>
    <row r="7" customFormat="false" ht="15" hidden="false" customHeight="false" outlineLevel="0" collapsed="false">
      <c r="A7" s="4" t="s">
        <v>10</v>
      </c>
      <c r="B7" s="4" t="s">
        <v>70</v>
      </c>
      <c r="C7" s="4" t="s">
        <v>71</v>
      </c>
      <c r="D7" s="5" t="s">
        <v>12</v>
      </c>
      <c r="E7" s="4" t="s">
        <v>68</v>
      </c>
      <c r="F7" s="4" t="n">
        <v>1</v>
      </c>
      <c r="G7" s="4" t="s">
        <v>61</v>
      </c>
      <c r="H7" s="4" t="s">
        <v>72</v>
      </c>
      <c r="I7" s="4"/>
    </row>
    <row r="8" customFormat="false" ht="15" hidden="false" customHeight="false" outlineLevel="0" collapsed="false">
      <c r="A8" s="4" t="s">
        <v>10</v>
      </c>
      <c r="B8" s="4" t="s">
        <v>73</v>
      </c>
      <c r="C8" s="4" t="s">
        <v>74</v>
      </c>
      <c r="D8" s="5" t="s">
        <v>12</v>
      </c>
      <c r="E8" s="4" t="s">
        <v>68</v>
      </c>
      <c r="F8" s="4" t="n">
        <v>1</v>
      </c>
      <c r="G8" s="4" t="s">
        <v>61</v>
      </c>
      <c r="H8" s="4" t="s">
        <v>75</v>
      </c>
      <c r="I8" s="4"/>
    </row>
    <row r="9" customFormat="false" ht="15" hidden="false" customHeight="false" outlineLevel="0" collapsed="false">
      <c r="A9" s="4" t="s">
        <v>10</v>
      </c>
      <c r="B9" s="4" t="s">
        <v>76</v>
      </c>
      <c r="C9" s="4" t="s">
        <v>77</v>
      </c>
      <c r="D9" s="5" t="s">
        <v>12</v>
      </c>
      <c r="E9" s="4" t="s">
        <v>60</v>
      </c>
      <c r="F9" s="4" t="n">
        <v>1</v>
      </c>
      <c r="G9" s="4" t="s">
        <v>61</v>
      </c>
      <c r="H9" s="4" t="s">
        <v>78</v>
      </c>
      <c r="I9" s="4"/>
    </row>
    <row r="10" customFormat="false" ht="15" hidden="false" customHeight="false" outlineLevel="0" collapsed="false">
      <c r="A10" s="4" t="s">
        <v>10</v>
      </c>
      <c r="B10" s="4" t="s">
        <v>79</v>
      </c>
      <c r="C10" s="4" t="s">
        <v>80</v>
      </c>
      <c r="D10" s="5" t="s">
        <v>12</v>
      </c>
      <c r="E10" s="4" t="s">
        <v>60</v>
      </c>
      <c r="F10" s="4" t="n">
        <v>1</v>
      </c>
      <c r="G10" s="4" t="s">
        <v>61</v>
      </c>
      <c r="H10" s="4" t="s">
        <v>81</v>
      </c>
      <c r="I10" s="4"/>
    </row>
    <row r="11" customFormat="false" ht="15" hidden="false" customHeight="false" outlineLevel="0" collapsed="false">
      <c r="A11" s="4" t="s">
        <v>10</v>
      </c>
      <c r="B11" s="4" t="s">
        <v>82</v>
      </c>
      <c r="C11" s="4" t="s">
        <v>83</v>
      </c>
      <c r="D11" s="5" t="s">
        <v>12</v>
      </c>
      <c r="E11" s="4" t="s">
        <v>60</v>
      </c>
      <c r="F11" s="4" t="n">
        <v>1</v>
      </c>
      <c r="G11" s="4" t="s">
        <v>61</v>
      </c>
      <c r="H11" s="4" t="s">
        <v>84</v>
      </c>
      <c r="I11" s="4"/>
    </row>
    <row r="12" customFormat="false" ht="15" hidden="false" customHeight="false" outlineLevel="0" collapsed="false">
      <c r="A12" s="13" t="s">
        <v>15</v>
      </c>
      <c r="B12" s="4" t="s">
        <v>85</v>
      </c>
      <c r="C12" s="4" t="s">
        <v>86</v>
      </c>
      <c r="D12" s="5" t="s">
        <v>12</v>
      </c>
      <c r="E12" s="4" t="s">
        <v>68</v>
      </c>
      <c r="F12" s="4" t="n">
        <v>1</v>
      </c>
      <c r="G12" s="4" t="s">
        <v>61</v>
      </c>
      <c r="H12" s="4"/>
      <c r="I12" s="4"/>
    </row>
    <row r="13" customFormat="false" ht="15" hidden="false" customHeight="false" outlineLevel="0" collapsed="false">
      <c r="A13" s="4" t="s">
        <v>15</v>
      </c>
      <c r="B13" s="4" t="s">
        <v>87</v>
      </c>
      <c r="C13" s="4" t="s">
        <v>88</v>
      </c>
      <c r="D13" s="5" t="s">
        <v>12</v>
      </c>
      <c r="E13" s="4" t="s">
        <v>68</v>
      </c>
      <c r="F13" s="4" t="n">
        <v>1</v>
      </c>
      <c r="G13" s="4" t="s">
        <v>61</v>
      </c>
      <c r="H13" s="4"/>
      <c r="I13" s="4"/>
    </row>
    <row r="14" customFormat="false" ht="15" hidden="false" customHeight="false" outlineLevel="0" collapsed="false">
      <c r="A14" s="4" t="s">
        <v>15</v>
      </c>
      <c r="B14" s="4" t="s">
        <v>89</v>
      </c>
      <c r="C14" s="4" t="s">
        <v>90</v>
      </c>
      <c r="D14" s="5" t="s">
        <v>12</v>
      </c>
      <c r="E14" s="4" t="s">
        <v>68</v>
      </c>
      <c r="F14" s="4" t="n">
        <v>1</v>
      </c>
      <c r="G14" s="4" t="s">
        <v>61</v>
      </c>
      <c r="H14" s="4"/>
      <c r="I14" s="4"/>
    </row>
    <row r="15" customFormat="false" ht="15" hidden="false" customHeight="false" outlineLevel="0" collapsed="false">
      <c r="A15" s="4" t="s">
        <v>15</v>
      </c>
      <c r="B15" s="4" t="s">
        <v>91</v>
      </c>
      <c r="C15" s="4" t="s">
        <v>92</v>
      </c>
      <c r="D15" s="5" t="s">
        <v>12</v>
      </c>
      <c r="E15" s="4" t="s">
        <v>93</v>
      </c>
      <c r="F15" s="4" t="n">
        <v>1</v>
      </c>
      <c r="G15" s="4" t="s">
        <v>61</v>
      </c>
      <c r="H15" s="4"/>
      <c r="I15" s="4"/>
    </row>
    <row r="16" customFormat="false" ht="15" hidden="false" customHeight="false" outlineLevel="0" collapsed="false">
      <c r="A16" s="4" t="s">
        <v>15</v>
      </c>
      <c r="B16" s="4" t="s">
        <v>94</v>
      </c>
      <c r="C16" s="4" t="s">
        <v>95</v>
      </c>
      <c r="D16" s="5" t="s">
        <v>12</v>
      </c>
      <c r="E16" s="4" t="s">
        <v>68</v>
      </c>
      <c r="F16" s="4" t="n">
        <v>1</v>
      </c>
      <c r="G16" s="4" t="s">
        <v>61</v>
      </c>
      <c r="H16" s="4"/>
      <c r="I16" s="4"/>
    </row>
    <row r="17" customFormat="false" ht="15" hidden="false" customHeight="false" outlineLevel="0" collapsed="false">
      <c r="A17" s="13" t="s">
        <v>19</v>
      </c>
      <c r="B17" s="4" t="s">
        <v>96</v>
      </c>
      <c r="C17" s="4" t="s">
        <v>97</v>
      </c>
      <c r="D17" s="5" t="s">
        <v>12</v>
      </c>
      <c r="E17" s="4" t="s">
        <v>60</v>
      </c>
      <c r="F17" s="4" t="n">
        <v>1</v>
      </c>
      <c r="G17" s="4" t="s">
        <v>61</v>
      </c>
      <c r="H17" s="4" t="s">
        <v>98</v>
      </c>
      <c r="I17" s="4"/>
    </row>
    <row r="18" customFormat="false" ht="15" hidden="false" customHeight="false" outlineLevel="0" collapsed="false">
      <c r="A18" s="4" t="s">
        <v>19</v>
      </c>
      <c r="B18" s="4" t="s">
        <v>99</v>
      </c>
      <c r="C18" s="4" t="s">
        <v>100</v>
      </c>
      <c r="D18" s="5" t="s">
        <v>12</v>
      </c>
      <c r="E18" s="4" t="s">
        <v>60</v>
      </c>
      <c r="F18" s="4" t="n">
        <v>1</v>
      </c>
      <c r="G18" s="4" t="s">
        <v>61</v>
      </c>
      <c r="H18" s="4" t="s">
        <v>98</v>
      </c>
      <c r="I18" s="4"/>
    </row>
    <row r="19" customFormat="false" ht="15" hidden="false" customHeight="false" outlineLevel="0" collapsed="false">
      <c r="A19" s="4" t="s">
        <v>19</v>
      </c>
      <c r="B19" s="4" t="s">
        <v>101</v>
      </c>
      <c r="C19" s="4" t="s">
        <v>102</v>
      </c>
      <c r="D19" s="5" t="s">
        <v>12</v>
      </c>
      <c r="E19" s="4" t="s">
        <v>60</v>
      </c>
      <c r="F19" s="4" t="n">
        <v>1</v>
      </c>
      <c r="G19" s="4" t="s">
        <v>61</v>
      </c>
      <c r="H19" s="4" t="s">
        <v>98</v>
      </c>
      <c r="I19" s="4"/>
    </row>
    <row r="20" customFormat="false" ht="15" hidden="false" customHeight="false" outlineLevel="0" collapsed="false">
      <c r="A20" s="4" t="s">
        <v>19</v>
      </c>
      <c r="B20" s="4" t="s">
        <v>103</v>
      </c>
      <c r="C20" s="4" t="s">
        <v>104</v>
      </c>
      <c r="D20" s="5" t="s">
        <v>12</v>
      </c>
      <c r="E20" s="4" t="s">
        <v>68</v>
      </c>
      <c r="F20" s="4" t="n">
        <v>1</v>
      </c>
      <c r="G20" s="4" t="s">
        <v>61</v>
      </c>
      <c r="H20" s="4" t="s">
        <v>98</v>
      </c>
      <c r="I20" s="4"/>
    </row>
    <row r="21" customFormat="false" ht="15" hidden="false" customHeight="false" outlineLevel="0" collapsed="false">
      <c r="A21" s="4" t="s">
        <v>19</v>
      </c>
      <c r="B21" s="4" t="s">
        <v>105</v>
      </c>
      <c r="C21" s="4" t="s">
        <v>106</v>
      </c>
      <c r="D21" s="5" t="s">
        <v>12</v>
      </c>
      <c r="E21" s="4" t="s">
        <v>68</v>
      </c>
      <c r="F21" s="4" t="n">
        <v>1</v>
      </c>
      <c r="G21" s="4" t="s">
        <v>61</v>
      </c>
      <c r="H21" s="4" t="s">
        <v>98</v>
      </c>
      <c r="I21" s="4"/>
    </row>
    <row r="22" customFormat="false" ht="15" hidden="false" customHeight="false" outlineLevel="0" collapsed="false">
      <c r="A22" s="4" t="s">
        <v>19</v>
      </c>
      <c r="B22" s="4" t="s">
        <v>107</v>
      </c>
      <c r="C22" s="4" t="s">
        <v>108</v>
      </c>
      <c r="D22" s="5" t="s">
        <v>12</v>
      </c>
      <c r="E22" s="4" t="s">
        <v>68</v>
      </c>
      <c r="F22" s="4" t="n">
        <v>1</v>
      </c>
      <c r="G22" s="4" t="s">
        <v>61</v>
      </c>
      <c r="H22" s="4"/>
      <c r="I22" s="4"/>
    </row>
    <row r="23" customFormat="false" ht="15" hidden="false" customHeight="false" outlineLevel="0" collapsed="false">
      <c r="A23" s="13" t="s">
        <v>22</v>
      </c>
      <c r="B23" s="4" t="s">
        <v>109</v>
      </c>
      <c r="C23" s="4" t="s">
        <v>110</v>
      </c>
      <c r="D23" s="5" t="s">
        <v>12</v>
      </c>
      <c r="E23" s="4" t="s">
        <v>60</v>
      </c>
      <c r="F23" s="4" t="n">
        <v>1</v>
      </c>
      <c r="G23" s="4" t="s">
        <v>61</v>
      </c>
      <c r="H23" s="4" t="s">
        <v>111</v>
      </c>
      <c r="I23" s="4" t="s">
        <v>112</v>
      </c>
    </row>
    <row r="24" customFormat="false" ht="15" hidden="false" customHeight="false" outlineLevel="0" collapsed="false">
      <c r="A24" s="4" t="s">
        <v>22</v>
      </c>
      <c r="B24" s="4" t="s">
        <v>113</v>
      </c>
      <c r="C24" s="4" t="s">
        <v>114</v>
      </c>
      <c r="D24" s="5" t="s">
        <v>12</v>
      </c>
      <c r="E24" s="4" t="s">
        <v>60</v>
      </c>
      <c r="F24" s="4" t="n">
        <v>1</v>
      </c>
      <c r="G24" s="4" t="s">
        <v>61</v>
      </c>
      <c r="H24" s="4" t="s">
        <v>111</v>
      </c>
      <c r="I24" s="4" t="s">
        <v>112</v>
      </c>
    </row>
    <row r="25" customFormat="false" ht="15" hidden="false" customHeight="false" outlineLevel="0" collapsed="false">
      <c r="A25" s="4" t="s">
        <v>22</v>
      </c>
      <c r="B25" s="4" t="s">
        <v>115</v>
      </c>
      <c r="C25" s="4" t="s">
        <v>116</v>
      </c>
      <c r="D25" s="5" t="s">
        <v>12</v>
      </c>
      <c r="E25" s="4" t="s">
        <v>60</v>
      </c>
      <c r="F25" s="4" t="n">
        <v>1</v>
      </c>
      <c r="G25" s="4" t="s">
        <v>61</v>
      </c>
      <c r="H25" s="4" t="s">
        <v>111</v>
      </c>
      <c r="I25" s="4" t="s">
        <v>117</v>
      </c>
    </row>
    <row r="26" customFormat="false" ht="15" hidden="false" customHeight="false" outlineLevel="0" collapsed="false">
      <c r="A26" s="4" t="s">
        <v>22</v>
      </c>
      <c r="B26" s="4" t="s">
        <v>118</v>
      </c>
      <c r="C26" s="4" t="s">
        <v>119</v>
      </c>
      <c r="D26" s="5" t="s">
        <v>12</v>
      </c>
      <c r="E26" s="4" t="s">
        <v>60</v>
      </c>
      <c r="F26" s="4" t="n">
        <v>1</v>
      </c>
      <c r="G26" s="4" t="s">
        <v>61</v>
      </c>
      <c r="H26" s="4" t="s">
        <v>111</v>
      </c>
      <c r="I26" s="4" t="s">
        <v>120</v>
      </c>
    </row>
    <row r="27" customFormat="false" ht="15" hidden="false" customHeight="false" outlineLevel="0" collapsed="false">
      <c r="A27" s="4" t="s">
        <v>22</v>
      </c>
      <c r="B27" s="4" t="s">
        <v>121</v>
      </c>
      <c r="C27" s="4" t="s">
        <v>122</v>
      </c>
      <c r="D27" s="5" t="s">
        <v>12</v>
      </c>
      <c r="E27" s="4" t="s">
        <v>68</v>
      </c>
      <c r="F27" s="4" t="n">
        <v>1</v>
      </c>
      <c r="G27" s="4" t="s">
        <v>61</v>
      </c>
      <c r="H27" s="4" t="s">
        <v>111</v>
      </c>
      <c r="I27" s="4" t="s">
        <v>112</v>
      </c>
    </row>
    <row r="28" customFormat="false" ht="15" hidden="false" customHeight="false" outlineLevel="0" collapsed="false">
      <c r="A28" s="4" t="s">
        <v>22</v>
      </c>
      <c r="B28" s="4" t="s">
        <v>123</v>
      </c>
      <c r="C28" s="4" t="s">
        <v>124</v>
      </c>
      <c r="D28" s="5" t="s">
        <v>12</v>
      </c>
      <c r="E28" s="4" t="s">
        <v>93</v>
      </c>
      <c r="F28" s="4" t="n">
        <v>1</v>
      </c>
      <c r="G28" s="4" t="s">
        <v>61</v>
      </c>
      <c r="H28" s="4" t="s">
        <v>111</v>
      </c>
      <c r="I28" s="4" t="s">
        <v>125</v>
      </c>
    </row>
    <row r="29" customFormat="false" ht="15" hidden="false" customHeight="false" outlineLevel="0" collapsed="false">
      <c r="A29" s="4" t="s">
        <v>22</v>
      </c>
      <c r="B29" s="4" t="s">
        <v>126</v>
      </c>
      <c r="C29" s="4" t="s">
        <v>127</v>
      </c>
      <c r="D29" s="5" t="s">
        <v>12</v>
      </c>
      <c r="E29" s="4" t="s">
        <v>68</v>
      </c>
      <c r="F29" s="4" t="n">
        <v>1</v>
      </c>
      <c r="G29" s="4" t="s">
        <v>61</v>
      </c>
      <c r="H29" s="4" t="s">
        <v>111</v>
      </c>
      <c r="I29" s="4" t="s">
        <v>128</v>
      </c>
    </row>
    <row r="30" customFormat="false" ht="15" hidden="false" customHeight="false" outlineLevel="0" collapsed="false">
      <c r="A30" s="4" t="s">
        <v>22</v>
      </c>
      <c r="B30" s="4" t="s">
        <v>129</v>
      </c>
      <c r="C30" s="4" t="s">
        <v>130</v>
      </c>
      <c r="D30" s="5" t="s">
        <v>12</v>
      </c>
      <c r="E30" s="4" t="s">
        <v>60</v>
      </c>
      <c r="F30" s="4" t="n">
        <v>2</v>
      </c>
      <c r="G30" s="4" t="s">
        <v>61</v>
      </c>
      <c r="H30" s="4" t="s">
        <v>111</v>
      </c>
      <c r="I30" s="4" t="s">
        <v>131</v>
      </c>
    </row>
    <row r="31" customFormat="false" ht="15" hidden="false" customHeight="false" outlineLevel="0" collapsed="false">
      <c r="A31" s="13" t="s">
        <v>25</v>
      </c>
      <c r="B31" s="4" t="s">
        <v>132</v>
      </c>
      <c r="C31" s="4" t="s">
        <v>133</v>
      </c>
      <c r="D31" s="5" t="s">
        <v>12</v>
      </c>
      <c r="E31" s="4" t="s">
        <v>60</v>
      </c>
      <c r="F31" s="4" t="n">
        <v>1</v>
      </c>
      <c r="G31" s="4" t="s">
        <v>61</v>
      </c>
      <c r="H31" s="4" t="s">
        <v>134</v>
      </c>
      <c r="I31" s="4"/>
    </row>
    <row r="32" customFormat="false" ht="15" hidden="false" customHeight="false" outlineLevel="0" collapsed="false">
      <c r="A32" s="4" t="s">
        <v>25</v>
      </c>
      <c r="B32" s="4" t="s">
        <v>135</v>
      </c>
      <c r="C32" s="4" t="s">
        <v>136</v>
      </c>
      <c r="D32" s="5" t="s">
        <v>12</v>
      </c>
      <c r="E32" s="4" t="s">
        <v>60</v>
      </c>
      <c r="F32" s="4" t="n">
        <v>1</v>
      </c>
      <c r="G32" s="4" t="s">
        <v>61</v>
      </c>
      <c r="H32" s="4" t="s">
        <v>134</v>
      </c>
      <c r="I32" s="4"/>
    </row>
    <row r="33" customFormat="false" ht="15" hidden="false" customHeight="false" outlineLevel="0" collapsed="false">
      <c r="A33" s="4" t="s">
        <v>25</v>
      </c>
      <c r="B33" s="4" t="s">
        <v>137</v>
      </c>
      <c r="C33" s="4" t="s">
        <v>138</v>
      </c>
      <c r="D33" s="5" t="s">
        <v>12</v>
      </c>
      <c r="E33" s="4" t="s">
        <v>60</v>
      </c>
      <c r="F33" s="4" t="n">
        <v>1</v>
      </c>
      <c r="G33" s="4" t="s">
        <v>61</v>
      </c>
      <c r="H33" s="4" t="s">
        <v>134</v>
      </c>
      <c r="I33" s="4"/>
    </row>
    <row r="34" customFormat="false" ht="15" hidden="false" customHeight="false" outlineLevel="0" collapsed="false">
      <c r="A34" s="4" t="s">
        <v>25</v>
      </c>
      <c r="B34" s="4" t="s">
        <v>139</v>
      </c>
      <c r="C34" s="4" t="s">
        <v>140</v>
      </c>
      <c r="D34" s="5" t="s">
        <v>12</v>
      </c>
      <c r="E34" s="4" t="s">
        <v>68</v>
      </c>
      <c r="F34" s="4" t="n">
        <v>1</v>
      </c>
      <c r="G34" s="4" t="s">
        <v>61</v>
      </c>
      <c r="H34" s="4" t="s">
        <v>141</v>
      </c>
      <c r="I34" s="4"/>
    </row>
    <row r="35" customFormat="false" ht="15" hidden="false" customHeight="false" outlineLevel="0" collapsed="false">
      <c r="A35" s="4" t="s">
        <v>25</v>
      </c>
      <c r="B35" s="4" t="s">
        <v>142</v>
      </c>
      <c r="C35" s="4" t="s">
        <v>143</v>
      </c>
      <c r="D35" s="5" t="s">
        <v>12</v>
      </c>
      <c r="E35" s="4" t="s">
        <v>68</v>
      </c>
      <c r="F35" s="4" t="n">
        <v>1</v>
      </c>
      <c r="G35" s="4" t="s">
        <v>61</v>
      </c>
      <c r="H35" s="4" t="s">
        <v>141</v>
      </c>
      <c r="I35" s="4"/>
    </row>
    <row r="36" customFormat="false" ht="15" hidden="false" customHeight="false" outlineLevel="0" collapsed="false">
      <c r="A36" s="4" t="s">
        <v>25</v>
      </c>
      <c r="B36" s="4" t="s">
        <v>144</v>
      </c>
      <c r="C36" s="4" t="s">
        <v>145</v>
      </c>
      <c r="D36" s="5" t="s">
        <v>12</v>
      </c>
      <c r="E36" s="4" t="s">
        <v>93</v>
      </c>
      <c r="F36" s="4" t="n">
        <v>1</v>
      </c>
      <c r="G36" s="4" t="s">
        <v>61</v>
      </c>
      <c r="H36" s="4" t="s">
        <v>146</v>
      </c>
      <c r="I36" s="4"/>
    </row>
    <row r="37" customFormat="false" ht="15" hidden="false" customHeight="false" outlineLevel="0" collapsed="false">
      <c r="A37" s="4" t="s">
        <v>25</v>
      </c>
      <c r="B37" s="4" t="s">
        <v>147</v>
      </c>
      <c r="C37" s="4" t="s">
        <v>148</v>
      </c>
      <c r="D37" s="5" t="s">
        <v>12</v>
      </c>
      <c r="E37" s="4" t="s">
        <v>68</v>
      </c>
      <c r="F37" s="4" t="n">
        <v>1</v>
      </c>
      <c r="G37" s="4" t="s">
        <v>61</v>
      </c>
      <c r="H37" s="4" t="s">
        <v>149</v>
      </c>
      <c r="I37" s="4"/>
    </row>
    <row r="38" customFormat="false" ht="15" hidden="false" customHeight="false" outlineLevel="0" collapsed="false">
      <c r="A38" s="13" t="s">
        <v>28</v>
      </c>
      <c r="B38" s="4" t="s">
        <v>150</v>
      </c>
      <c r="C38" s="4" t="s">
        <v>151</v>
      </c>
      <c r="D38" s="5" t="s">
        <v>12</v>
      </c>
      <c r="E38" s="4" t="s">
        <v>60</v>
      </c>
      <c r="F38" s="4" t="n">
        <v>2</v>
      </c>
      <c r="G38" s="4" t="s">
        <v>61</v>
      </c>
      <c r="H38" s="4" t="s">
        <v>152</v>
      </c>
      <c r="I38" s="4"/>
    </row>
    <row r="39" customFormat="false" ht="15" hidden="false" customHeight="false" outlineLevel="0" collapsed="false">
      <c r="A39" s="4" t="s">
        <v>28</v>
      </c>
      <c r="B39" s="4" t="s">
        <v>153</v>
      </c>
      <c r="C39" s="4" t="s">
        <v>154</v>
      </c>
      <c r="D39" s="5" t="s">
        <v>12</v>
      </c>
      <c r="E39" s="4" t="s">
        <v>60</v>
      </c>
      <c r="F39" s="4" t="n">
        <v>2</v>
      </c>
      <c r="G39" s="4" t="s">
        <v>61</v>
      </c>
      <c r="H39" s="4" t="s">
        <v>152</v>
      </c>
      <c r="I39" s="4"/>
    </row>
    <row r="40" customFormat="false" ht="15" hidden="false" customHeight="false" outlineLevel="0" collapsed="false">
      <c r="A40" s="4" t="s">
        <v>28</v>
      </c>
      <c r="B40" s="4" t="s">
        <v>155</v>
      </c>
      <c r="C40" s="4" t="s">
        <v>156</v>
      </c>
      <c r="D40" s="5" t="s">
        <v>12</v>
      </c>
      <c r="E40" s="4" t="s">
        <v>68</v>
      </c>
      <c r="F40" s="4" t="n">
        <v>1</v>
      </c>
      <c r="G40" s="4" t="s">
        <v>61</v>
      </c>
      <c r="H40" s="4" t="s">
        <v>152</v>
      </c>
      <c r="I40" s="4"/>
    </row>
    <row r="41" customFormat="false" ht="15" hidden="false" customHeight="false" outlineLevel="0" collapsed="false">
      <c r="A41" s="4" t="s">
        <v>28</v>
      </c>
      <c r="B41" s="4" t="s">
        <v>157</v>
      </c>
      <c r="C41" s="4" t="s">
        <v>158</v>
      </c>
      <c r="D41" s="5" t="s">
        <v>12</v>
      </c>
      <c r="E41" s="4" t="s">
        <v>68</v>
      </c>
      <c r="F41" s="4" t="n">
        <v>1</v>
      </c>
      <c r="G41" s="4" t="s">
        <v>61</v>
      </c>
      <c r="H41" s="4" t="s">
        <v>159</v>
      </c>
      <c r="I41" s="4"/>
    </row>
    <row r="42" customFormat="false" ht="15" hidden="false" customHeight="false" outlineLevel="0" collapsed="false">
      <c r="A42" s="4" t="s">
        <v>28</v>
      </c>
      <c r="B42" s="4" t="s">
        <v>160</v>
      </c>
      <c r="C42" s="4" t="s">
        <v>161</v>
      </c>
      <c r="D42" s="5" t="s">
        <v>12</v>
      </c>
      <c r="E42" s="4" t="s">
        <v>60</v>
      </c>
      <c r="F42" s="4" t="n">
        <v>1</v>
      </c>
      <c r="G42" s="4" t="s">
        <v>61</v>
      </c>
      <c r="H42" s="4" t="s">
        <v>159</v>
      </c>
      <c r="I42" s="4"/>
    </row>
    <row r="43" customFormat="false" ht="15" hidden="false" customHeight="false" outlineLevel="0" collapsed="false">
      <c r="A43" s="4" t="s">
        <v>28</v>
      </c>
      <c r="B43" s="4" t="s">
        <v>162</v>
      </c>
      <c r="C43" s="4" t="s">
        <v>163</v>
      </c>
      <c r="D43" s="5" t="s">
        <v>12</v>
      </c>
      <c r="E43" s="4" t="s">
        <v>68</v>
      </c>
      <c r="F43" s="4" t="n">
        <v>1</v>
      </c>
      <c r="G43" s="4" t="s">
        <v>61</v>
      </c>
      <c r="H43" s="4" t="s">
        <v>164</v>
      </c>
      <c r="I43" s="4"/>
    </row>
    <row r="44" customFormat="false" ht="15" hidden="false" customHeight="false" outlineLevel="0" collapsed="false">
      <c r="A44" s="4" t="s">
        <v>28</v>
      </c>
      <c r="B44" s="4" t="s">
        <v>165</v>
      </c>
      <c r="C44" s="4" t="s">
        <v>166</v>
      </c>
      <c r="D44" s="5" t="s">
        <v>12</v>
      </c>
      <c r="E44" s="4" t="s">
        <v>68</v>
      </c>
      <c r="F44" s="4" t="n">
        <v>1</v>
      </c>
      <c r="G44" s="4" t="s">
        <v>61</v>
      </c>
      <c r="H44" s="4" t="s">
        <v>167</v>
      </c>
      <c r="I44" s="4"/>
    </row>
    <row r="45" customFormat="false" ht="15" hidden="false" customHeight="false" outlineLevel="0" collapsed="false">
      <c r="A45" s="4" t="s">
        <v>28</v>
      </c>
      <c r="B45" s="4" t="s">
        <v>168</v>
      </c>
      <c r="C45" s="4" t="s">
        <v>169</v>
      </c>
      <c r="D45" s="5" t="s">
        <v>12</v>
      </c>
      <c r="E45" s="4" t="s">
        <v>60</v>
      </c>
      <c r="F45" s="4" t="n">
        <v>1</v>
      </c>
      <c r="G45" s="4" t="s">
        <v>61</v>
      </c>
      <c r="H45" s="4" t="s">
        <v>170</v>
      </c>
      <c r="I45" s="4"/>
    </row>
    <row r="46" customFormat="false" ht="15" hidden="false" customHeight="false" outlineLevel="0" collapsed="false">
      <c r="A46" s="4" t="s">
        <v>28</v>
      </c>
      <c r="B46" s="4" t="s">
        <v>171</v>
      </c>
      <c r="C46" s="4" t="s">
        <v>172</v>
      </c>
      <c r="D46" s="5" t="s">
        <v>12</v>
      </c>
      <c r="E46" s="4" t="s">
        <v>60</v>
      </c>
      <c r="F46" s="4" t="n">
        <v>1</v>
      </c>
      <c r="G46" s="4" t="s">
        <v>61</v>
      </c>
      <c r="H46" s="4" t="s">
        <v>173</v>
      </c>
      <c r="I46" s="4"/>
    </row>
    <row r="47" customFormat="false" ht="15" hidden="false" customHeight="false" outlineLevel="0" collapsed="false">
      <c r="A47" s="13" t="s">
        <v>31</v>
      </c>
      <c r="B47" s="4" t="s">
        <v>174</v>
      </c>
      <c r="C47" s="4" t="s">
        <v>175</v>
      </c>
      <c r="D47" s="5" t="s">
        <v>12</v>
      </c>
      <c r="E47" s="4" t="s">
        <v>60</v>
      </c>
      <c r="F47" s="4" t="n">
        <v>1</v>
      </c>
      <c r="G47" s="4" t="s">
        <v>61</v>
      </c>
      <c r="H47" s="4" t="s">
        <v>176</v>
      </c>
      <c r="I47" s="4"/>
    </row>
    <row r="48" customFormat="false" ht="15" hidden="false" customHeight="false" outlineLevel="0" collapsed="false">
      <c r="A48" s="4" t="s">
        <v>31</v>
      </c>
      <c r="B48" s="4" t="s">
        <v>177</v>
      </c>
      <c r="C48" s="4" t="s">
        <v>178</v>
      </c>
      <c r="D48" s="5" t="s">
        <v>12</v>
      </c>
      <c r="E48" s="4" t="s">
        <v>60</v>
      </c>
      <c r="F48" s="4" t="n">
        <v>1</v>
      </c>
      <c r="G48" s="4" t="s">
        <v>61</v>
      </c>
      <c r="H48" s="4" t="s">
        <v>179</v>
      </c>
      <c r="I48" s="4"/>
    </row>
    <row r="49" customFormat="false" ht="15" hidden="false" customHeight="false" outlineLevel="0" collapsed="false">
      <c r="A49" s="4" t="s">
        <v>31</v>
      </c>
      <c r="B49" s="4" t="s">
        <v>180</v>
      </c>
      <c r="C49" s="4" t="s">
        <v>181</v>
      </c>
      <c r="D49" s="5" t="s">
        <v>12</v>
      </c>
      <c r="E49" s="4" t="s">
        <v>60</v>
      </c>
      <c r="F49" s="4" t="n">
        <v>1</v>
      </c>
      <c r="G49" s="4" t="s">
        <v>61</v>
      </c>
      <c r="H49" s="4" t="s">
        <v>179</v>
      </c>
      <c r="I49" s="4"/>
    </row>
    <row r="50" customFormat="false" ht="15" hidden="false" customHeight="false" outlineLevel="0" collapsed="false">
      <c r="A50" s="4" t="s">
        <v>31</v>
      </c>
      <c r="B50" s="4" t="s">
        <v>182</v>
      </c>
      <c r="C50" s="4" t="s">
        <v>183</v>
      </c>
      <c r="D50" s="5" t="s">
        <v>12</v>
      </c>
      <c r="E50" s="4" t="s">
        <v>68</v>
      </c>
      <c r="F50" s="4" t="n">
        <v>1</v>
      </c>
      <c r="G50" s="4" t="s">
        <v>61</v>
      </c>
      <c r="H50" s="4" t="s">
        <v>176</v>
      </c>
      <c r="I50" s="4"/>
    </row>
    <row r="51" customFormat="false" ht="15" hidden="false" customHeight="false" outlineLevel="0" collapsed="false">
      <c r="A51" s="4" t="s">
        <v>31</v>
      </c>
      <c r="B51" s="4" t="s">
        <v>184</v>
      </c>
      <c r="C51" s="4" t="s">
        <v>185</v>
      </c>
      <c r="D51" s="5" t="s">
        <v>12</v>
      </c>
      <c r="E51" s="4" t="s">
        <v>60</v>
      </c>
      <c r="F51" s="4" t="n">
        <v>2</v>
      </c>
      <c r="G51" s="4" t="s">
        <v>61</v>
      </c>
      <c r="H51" s="4" t="s">
        <v>186</v>
      </c>
      <c r="I51" s="4"/>
    </row>
    <row r="52" customFormat="false" ht="15" hidden="false" customHeight="false" outlineLevel="0" collapsed="false">
      <c r="A52" s="4" t="s">
        <v>31</v>
      </c>
      <c r="B52" s="4" t="s">
        <v>187</v>
      </c>
      <c r="C52" s="4" t="s">
        <v>188</v>
      </c>
      <c r="D52" s="5" t="s">
        <v>12</v>
      </c>
      <c r="E52" s="4" t="s">
        <v>60</v>
      </c>
      <c r="F52" s="4" t="n">
        <v>2</v>
      </c>
      <c r="G52" s="4" t="s">
        <v>61</v>
      </c>
      <c r="H52" s="4" t="s">
        <v>176</v>
      </c>
      <c r="I52" s="4"/>
    </row>
    <row r="53" customFormat="false" ht="15" hidden="false" customHeight="false" outlineLevel="0" collapsed="false">
      <c r="A53" s="4" t="s">
        <v>31</v>
      </c>
      <c r="B53" s="4" t="s">
        <v>189</v>
      </c>
      <c r="C53" s="4" t="s">
        <v>190</v>
      </c>
      <c r="D53" s="5" t="s">
        <v>12</v>
      </c>
      <c r="E53" s="4" t="s">
        <v>93</v>
      </c>
      <c r="F53" s="4" t="n">
        <v>1</v>
      </c>
      <c r="G53" s="4" t="s">
        <v>61</v>
      </c>
      <c r="H53" s="4" t="s">
        <v>191</v>
      </c>
      <c r="I53" s="4"/>
    </row>
    <row r="54" customFormat="false" ht="15" hidden="false" customHeight="false" outlineLevel="0" collapsed="false">
      <c r="A54" s="4" t="s">
        <v>31</v>
      </c>
      <c r="B54" s="4" t="s">
        <v>192</v>
      </c>
      <c r="C54" s="4" t="s">
        <v>193</v>
      </c>
      <c r="D54" s="5" t="s">
        <v>12</v>
      </c>
      <c r="E54" s="4" t="s">
        <v>60</v>
      </c>
      <c r="F54" s="4" t="n">
        <v>1</v>
      </c>
      <c r="G54" s="4" t="s">
        <v>61</v>
      </c>
      <c r="H54" s="4" t="s">
        <v>176</v>
      </c>
      <c r="I54" s="4"/>
    </row>
    <row r="55" customFormat="false" ht="15" hidden="false" customHeight="false" outlineLevel="0" collapsed="false">
      <c r="A55" s="4" t="s">
        <v>31</v>
      </c>
      <c r="B55" s="4" t="s">
        <v>194</v>
      </c>
      <c r="C55" s="4" t="s">
        <v>195</v>
      </c>
      <c r="D55" s="5" t="s">
        <v>12</v>
      </c>
      <c r="E55" s="4" t="s">
        <v>68</v>
      </c>
      <c r="F55" s="4" t="n">
        <v>1</v>
      </c>
      <c r="G55" s="4" t="s">
        <v>61</v>
      </c>
      <c r="H55" s="4" t="s">
        <v>196</v>
      </c>
      <c r="I55" s="4"/>
    </row>
    <row r="56" customFormat="false" ht="15" hidden="false" customHeight="false" outlineLevel="0" collapsed="false">
      <c r="A56" s="4" t="s">
        <v>31</v>
      </c>
      <c r="B56" s="4" t="s">
        <v>197</v>
      </c>
      <c r="C56" s="4" t="s">
        <v>198</v>
      </c>
      <c r="D56" s="5" t="s">
        <v>12</v>
      </c>
      <c r="E56" s="4" t="s">
        <v>68</v>
      </c>
      <c r="F56" s="4" t="n">
        <v>1</v>
      </c>
      <c r="G56" s="4" t="s">
        <v>61</v>
      </c>
      <c r="H56" s="4" t="s">
        <v>199</v>
      </c>
      <c r="I56" s="4"/>
    </row>
    <row r="57" customFormat="false" ht="15" hidden="false" customHeight="false" outlineLevel="0" collapsed="false">
      <c r="A57" s="14" t="s">
        <v>34</v>
      </c>
      <c r="B57" s="7" t="s">
        <v>200</v>
      </c>
      <c r="C57" s="7" t="s">
        <v>201</v>
      </c>
      <c r="D57" s="8" t="s">
        <v>36</v>
      </c>
      <c r="E57" s="7" t="s">
        <v>60</v>
      </c>
      <c r="F57" s="7" t="n">
        <v>2</v>
      </c>
      <c r="G57" s="7" t="s">
        <v>61</v>
      </c>
      <c r="H57" s="7"/>
      <c r="I57" s="7" t="s">
        <v>202</v>
      </c>
    </row>
    <row r="58" customFormat="false" ht="15" hidden="false" customHeight="false" outlineLevel="0" collapsed="false">
      <c r="A58" s="7" t="s">
        <v>34</v>
      </c>
      <c r="B58" s="7" t="s">
        <v>203</v>
      </c>
      <c r="C58" s="7" t="s">
        <v>204</v>
      </c>
      <c r="D58" s="8" t="s">
        <v>36</v>
      </c>
      <c r="E58" s="7" t="s">
        <v>60</v>
      </c>
      <c r="F58" s="7" t="n">
        <v>2</v>
      </c>
      <c r="G58" s="7" t="s">
        <v>61</v>
      </c>
      <c r="H58" s="7"/>
      <c r="I58" s="7" t="s">
        <v>205</v>
      </c>
    </row>
    <row r="59" customFormat="false" ht="15" hidden="false" customHeight="false" outlineLevel="0" collapsed="false">
      <c r="A59" s="7" t="s">
        <v>34</v>
      </c>
      <c r="B59" s="7" t="s">
        <v>206</v>
      </c>
      <c r="C59" s="7" t="s">
        <v>207</v>
      </c>
      <c r="D59" s="8" t="s">
        <v>36</v>
      </c>
      <c r="E59" s="7" t="s">
        <v>68</v>
      </c>
      <c r="F59" s="7" t="n">
        <v>1</v>
      </c>
      <c r="G59" s="7" t="s">
        <v>61</v>
      </c>
      <c r="H59" s="7"/>
      <c r="I59" s="7" t="s">
        <v>208</v>
      </c>
    </row>
    <row r="60" customFormat="false" ht="15" hidden="false" customHeight="false" outlineLevel="0" collapsed="false">
      <c r="A60" s="7" t="s">
        <v>34</v>
      </c>
      <c r="B60" s="7" t="s">
        <v>209</v>
      </c>
      <c r="C60" s="7" t="s">
        <v>210</v>
      </c>
      <c r="D60" s="8" t="s">
        <v>36</v>
      </c>
      <c r="E60" s="7" t="s">
        <v>68</v>
      </c>
      <c r="F60" s="7" t="n">
        <v>1</v>
      </c>
      <c r="G60" s="7" t="s">
        <v>61</v>
      </c>
      <c r="H60" s="7"/>
      <c r="I60" s="7" t="s">
        <v>211</v>
      </c>
    </row>
    <row r="61" customFormat="false" ht="15" hidden="false" customHeight="false" outlineLevel="0" collapsed="false">
      <c r="A61" s="7" t="s">
        <v>34</v>
      </c>
      <c r="B61" s="7" t="s">
        <v>212</v>
      </c>
      <c r="C61" s="7" t="s">
        <v>213</v>
      </c>
      <c r="D61" s="8" t="s">
        <v>36</v>
      </c>
      <c r="E61" s="7" t="s">
        <v>93</v>
      </c>
      <c r="F61" s="7" t="n">
        <v>1</v>
      </c>
      <c r="G61" s="7" t="s">
        <v>61</v>
      </c>
      <c r="H61" s="7"/>
      <c r="I61" s="7"/>
    </row>
    <row r="62" customFormat="false" ht="15" hidden="false" customHeight="false" outlineLevel="0" collapsed="false">
      <c r="A62" s="7" t="s">
        <v>34</v>
      </c>
      <c r="B62" s="7" t="s">
        <v>214</v>
      </c>
      <c r="C62" s="7" t="s">
        <v>215</v>
      </c>
      <c r="D62" s="8" t="s">
        <v>36</v>
      </c>
      <c r="E62" s="7" t="s">
        <v>68</v>
      </c>
      <c r="F62" s="7" t="n">
        <v>1</v>
      </c>
      <c r="G62" s="7" t="s">
        <v>61</v>
      </c>
      <c r="H62" s="7"/>
      <c r="I62" s="7"/>
    </row>
    <row r="63" customFormat="false" ht="15" hidden="false" customHeight="false" outlineLevel="0" collapsed="false">
      <c r="A63" s="14" t="s">
        <v>38</v>
      </c>
      <c r="B63" s="7" t="s">
        <v>216</v>
      </c>
      <c r="C63" s="7" t="s">
        <v>217</v>
      </c>
      <c r="D63" s="8" t="s">
        <v>36</v>
      </c>
      <c r="E63" s="7" t="s">
        <v>60</v>
      </c>
      <c r="F63" s="7" t="n">
        <v>3</v>
      </c>
      <c r="G63" s="7" t="s">
        <v>61</v>
      </c>
      <c r="H63" s="7"/>
      <c r="I63" s="7" t="s">
        <v>218</v>
      </c>
    </row>
    <row r="64" customFormat="false" ht="15" hidden="false" customHeight="false" outlineLevel="0" collapsed="false">
      <c r="A64" s="7" t="s">
        <v>38</v>
      </c>
      <c r="B64" s="7" t="s">
        <v>219</v>
      </c>
      <c r="C64" s="7" t="s">
        <v>220</v>
      </c>
      <c r="D64" s="8" t="s">
        <v>36</v>
      </c>
      <c r="E64" s="7" t="s">
        <v>68</v>
      </c>
      <c r="F64" s="7" t="n">
        <v>2</v>
      </c>
      <c r="G64" s="7" t="s">
        <v>61</v>
      </c>
      <c r="H64" s="7"/>
      <c r="I64" s="7" t="s">
        <v>221</v>
      </c>
    </row>
    <row r="65" customFormat="false" ht="15" hidden="false" customHeight="false" outlineLevel="0" collapsed="false">
      <c r="A65" s="7" t="s">
        <v>38</v>
      </c>
      <c r="B65" s="7" t="s">
        <v>222</v>
      </c>
      <c r="C65" s="7" t="s">
        <v>223</v>
      </c>
      <c r="D65" s="8" t="s">
        <v>36</v>
      </c>
      <c r="E65" s="7" t="s">
        <v>60</v>
      </c>
      <c r="F65" s="7" t="n">
        <v>3</v>
      </c>
      <c r="G65" s="7" t="s">
        <v>61</v>
      </c>
      <c r="H65" s="7"/>
      <c r="I65" s="7" t="s">
        <v>224</v>
      </c>
    </row>
    <row r="66" customFormat="false" ht="15" hidden="false" customHeight="false" outlineLevel="0" collapsed="false">
      <c r="A66" s="7" t="s">
        <v>38</v>
      </c>
      <c r="B66" s="7" t="s">
        <v>225</v>
      </c>
      <c r="C66" s="7" t="s">
        <v>226</v>
      </c>
      <c r="D66" s="8" t="s">
        <v>36</v>
      </c>
      <c r="E66" s="7" t="s">
        <v>68</v>
      </c>
      <c r="F66" s="7" t="n">
        <v>2</v>
      </c>
      <c r="G66" s="7" t="s">
        <v>227</v>
      </c>
      <c r="H66" s="7" t="s">
        <v>228</v>
      </c>
      <c r="I66" s="7" t="s">
        <v>229</v>
      </c>
    </row>
    <row r="67" customFormat="false" ht="15" hidden="false" customHeight="false" outlineLevel="0" collapsed="false">
      <c r="A67" s="7" t="s">
        <v>38</v>
      </c>
      <c r="B67" s="7" t="s">
        <v>230</v>
      </c>
      <c r="C67" s="7" t="s">
        <v>231</v>
      </c>
      <c r="D67" s="8" t="s">
        <v>36</v>
      </c>
      <c r="E67" s="7" t="s">
        <v>93</v>
      </c>
      <c r="F67" s="7" t="n">
        <v>1</v>
      </c>
      <c r="G67" s="7" t="s">
        <v>227</v>
      </c>
      <c r="H67" s="7" t="s">
        <v>228</v>
      </c>
      <c r="I67" s="7" t="s">
        <v>232</v>
      </c>
    </row>
    <row r="68" customFormat="false" ht="15" hidden="false" customHeight="false" outlineLevel="0" collapsed="false">
      <c r="A68" s="14" t="s">
        <v>41</v>
      </c>
      <c r="B68" s="7" t="s">
        <v>233</v>
      </c>
      <c r="C68" s="7" t="s">
        <v>234</v>
      </c>
      <c r="D68" s="8" t="s">
        <v>36</v>
      </c>
      <c r="E68" s="7" t="s">
        <v>60</v>
      </c>
      <c r="F68" s="7" t="n">
        <v>3</v>
      </c>
      <c r="G68" s="7" t="s">
        <v>61</v>
      </c>
      <c r="H68" s="7"/>
      <c r="I68" s="7" t="s">
        <v>235</v>
      </c>
    </row>
    <row r="69" customFormat="false" ht="15" hidden="false" customHeight="false" outlineLevel="0" collapsed="false">
      <c r="A69" s="7" t="s">
        <v>41</v>
      </c>
      <c r="B69" s="7" t="s">
        <v>236</v>
      </c>
      <c r="C69" s="7" t="s">
        <v>237</v>
      </c>
      <c r="D69" s="8" t="s">
        <v>36</v>
      </c>
      <c r="E69" s="7" t="s">
        <v>60</v>
      </c>
      <c r="F69" s="7" t="n">
        <v>2</v>
      </c>
      <c r="G69" s="7" t="s">
        <v>61</v>
      </c>
      <c r="H69" s="7"/>
      <c r="I69" s="7"/>
    </row>
    <row r="70" customFormat="false" ht="15" hidden="false" customHeight="false" outlineLevel="0" collapsed="false">
      <c r="A70" s="7" t="s">
        <v>41</v>
      </c>
      <c r="B70" s="7" t="s">
        <v>238</v>
      </c>
      <c r="C70" s="7" t="s">
        <v>239</v>
      </c>
      <c r="D70" s="8" t="s">
        <v>36</v>
      </c>
      <c r="E70" s="7" t="s">
        <v>68</v>
      </c>
      <c r="F70" s="7" t="n">
        <v>2</v>
      </c>
      <c r="G70" s="7" t="s">
        <v>61</v>
      </c>
      <c r="H70" s="7"/>
      <c r="I70" s="7"/>
    </row>
    <row r="71" customFormat="false" ht="15" hidden="false" customHeight="false" outlineLevel="0" collapsed="false">
      <c r="A71" s="7" t="s">
        <v>41</v>
      </c>
      <c r="B71" s="7" t="s">
        <v>240</v>
      </c>
      <c r="C71" s="7" t="s">
        <v>241</v>
      </c>
      <c r="D71" s="8" t="s">
        <v>36</v>
      </c>
      <c r="E71" s="7" t="s">
        <v>68</v>
      </c>
      <c r="F71" s="7" t="n">
        <v>2</v>
      </c>
      <c r="G71" s="7" t="s">
        <v>61</v>
      </c>
      <c r="H71" s="7"/>
      <c r="I71" s="7"/>
    </row>
    <row r="72" customFormat="false" ht="15" hidden="false" customHeight="false" outlineLevel="0" collapsed="false">
      <c r="A72" s="7" t="s">
        <v>41</v>
      </c>
      <c r="B72" s="7" t="s">
        <v>242</v>
      </c>
      <c r="C72" s="7" t="s">
        <v>243</v>
      </c>
      <c r="D72" s="8" t="s">
        <v>36</v>
      </c>
      <c r="E72" s="7" t="s">
        <v>93</v>
      </c>
      <c r="F72" s="7" t="n">
        <v>1</v>
      </c>
      <c r="G72" s="7" t="s">
        <v>61</v>
      </c>
      <c r="H72" s="7"/>
      <c r="I72" s="7"/>
    </row>
    <row r="73" customFormat="false" ht="15" hidden="false" customHeight="false" outlineLevel="0" collapsed="false">
      <c r="A73" s="7" t="s">
        <v>41</v>
      </c>
      <c r="B73" s="7" t="s">
        <v>244</v>
      </c>
      <c r="C73" s="7" t="s">
        <v>245</v>
      </c>
      <c r="D73" s="8" t="s">
        <v>36</v>
      </c>
      <c r="E73" s="7" t="s">
        <v>68</v>
      </c>
      <c r="F73" s="7" t="n">
        <v>1</v>
      </c>
      <c r="G73" s="7" t="s">
        <v>61</v>
      </c>
      <c r="H73" s="7"/>
      <c r="I73" s="7"/>
    </row>
    <row r="74" customFormat="false" ht="15" hidden="false" customHeight="false" outlineLevel="0" collapsed="false">
      <c r="A74" s="14" t="s">
        <v>44</v>
      </c>
      <c r="B74" s="7" t="s">
        <v>246</v>
      </c>
      <c r="C74" s="7" t="s">
        <v>247</v>
      </c>
      <c r="D74" s="8" t="s">
        <v>36</v>
      </c>
      <c r="E74" s="7" t="s">
        <v>60</v>
      </c>
      <c r="F74" s="7" t="n">
        <v>1</v>
      </c>
      <c r="G74" s="7" t="s">
        <v>227</v>
      </c>
      <c r="H74" s="7" t="s">
        <v>228</v>
      </c>
      <c r="I74" s="7" t="s">
        <v>120</v>
      </c>
    </row>
    <row r="75" customFormat="false" ht="15" hidden="false" customHeight="false" outlineLevel="0" collapsed="false">
      <c r="A75" s="7" t="s">
        <v>44</v>
      </c>
      <c r="B75" s="7" t="s">
        <v>248</v>
      </c>
      <c r="C75" s="7" t="s">
        <v>249</v>
      </c>
      <c r="D75" s="8" t="s">
        <v>36</v>
      </c>
      <c r="E75" s="7" t="s">
        <v>60</v>
      </c>
      <c r="F75" s="7" t="n">
        <v>2</v>
      </c>
      <c r="G75" s="7" t="s">
        <v>61</v>
      </c>
      <c r="H75" s="7"/>
      <c r="I75" s="7"/>
    </row>
    <row r="76" customFormat="false" ht="15" hidden="false" customHeight="false" outlineLevel="0" collapsed="false">
      <c r="A76" s="7" t="s">
        <v>44</v>
      </c>
      <c r="B76" s="7" t="s">
        <v>250</v>
      </c>
      <c r="C76" s="7" t="s">
        <v>251</v>
      </c>
      <c r="D76" s="8" t="s">
        <v>36</v>
      </c>
      <c r="E76" s="7" t="s">
        <v>68</v>
      </c>
      <c r="F76" s="7" t="n">
        <v>2</v>
      </c>
      <c r="G76" s="7" t="s">
        <v>61</v>
      </c>
      <c r="H76" s="7"/>
      <c r="I76" s="7"/>
    </row>
    <row r="77" customFormat="false" ht="15" hidden="false" customHeight="false" outlineLevel="0" collapsed="false">
      <c r="A77" s="7" t="s">
        <v>44</v>
      </c>
      <c r="B77" s="7" t="s">
        <v>252</v>
      </c>
      <c r="C77" s="7" t="s">
        <v>253</v>
      </c>
      <c r="D77" s="8" t="s">
        <v>36</v>
      </c>
      <c r="E77" s="7" t="s">
        <v>93</v>
      </c>
      <c r="F77" s="7" t="n">
        <v>1</v>
      </c>
      <c r="G77" s="7" t="s">
        <v>227</v>
      </c>
      <c r="H77" s="7" t="s">
        <v>228</v>
      </c>
      <c r="I77" s="7" t="s">
        <v>254</v>
      </c>
    </row>
    <row r="78" customFormat="false" ht="15" hidden="false" customHeight="false" outlineLevel="0" collapsed="false">
      <c r="A78" s="14" t="s">
        <v>48</v>
      </c>
      <c r="B78" s="7" t="s">
        <v>255</v>
      </c>
      <c r="C78" s="7" t="s">
        <v>256</v>
      </c>
      <c r="D78" s="8" t="s">
        <v>36</v>
      </c>
      <c r="E78" s="7" t="s">
        <v>68</v>
      </c>
      <c r="F78" s="7" t="n">
        <v>3</v>
      </c>
      <c r="G78" s="7" t="s">
        <v>61</v>
      </c>
      <c r="H78" s="7"/>
      <c r="I78" s="7" t="s">
        <v>257</v>
      </c>
    </row>
    <row r="79" customFormat="false" ht="15" hidden="false" customHeight="false" outlineLevel="0" collapsed="false">
      <c r="A79" s="7" t="s">
        <v>48</v>
      </c>
      <c r="B79" s="7" t="s">
        <v>258</v>
      </c>
      <c r="C79" s="7" t="s">
        <v>259</v>
      </c>
      <c r="D79" s="8" t="s">
        <v>36</v>
      </c>
      <c r="E79" s="7" t="s">
        <v>68</v>
      </c>
      <c r="F79" s="7" t="n">
        <v>3</v>
      </c>
      <c r="G79" s="7" t="s">
        <v>61</v>
      </c>
      <c r="H79" s="7"/>
      <c r="I79" s="7"/>
    </row>
    <row r="80" customFormat="false" ht="15" hidden="false" customHeight="false" outlineLevel="0" collapsed="false">
      <c r="A80" s="7" t="s">
        <v>48</v>
      </c>
      <c r="B80" s="7" t="s">
        <v>260</v>
      </c>
      <c r="C80" s="7" t="s">
        <v>261</v>
      </c>
      <c r="D80" s="8" t="s">
        <v>36</v>
      </c>
      <c r="E80" s="7" t="s">
        <v>68</v>
      </c>
      <c r="F80" s="7" t="n">
        <v>1</v>
      </c>
      <c r="G80" s="7" t="s">
        <v>61</v>
      </c>
      <c r="H80" s="7"/>
      <c r="I80" s="7" t="s">
        <v>262</v>
      </c>
    </row>
    <row r="81" customFormat="false" ht="15" hidden="false" customHeight="false" outlineLevel="0" collapsed="false">
      <c r="A81" s="7" t="s">
        <v>48</v>
      </c>
      <c r="B81" s="7" t="s">
        <v>263</v>
      </c>
      <c r="C81" s="7" t="s">
        <v>264</v>
      </c>
      <c r="D81" s="8" t="s">
        <v>36</v>
      </c>
      <c r="E81" s="7" t="s">
        <v>93</v>
      </c>
      <c r="F81" s="7" t="n">
        <v>1</v>
      </c>
      <c r="G81" s="7" t="s">
        <v>61</v>
      </c>
      <c r="H81" s="7"/>
      <c r="I81" s="7" t="s">
        <v>265</v>
      </c>
    </row>
    <row r="82" customFormat="false" ht="15" hidden="false" customHeight="false" outlineLevel="0" collapsed="false">
      <c r="A82" s="7" t="s">
        <v>48</v>
      </c>
      <c r="B82" s="7" t="s">
        <v>266</v>
      </c>
      <c r="C82" s="7" t="s">
        <v>267</v>
      </c>
      <c r="D82" s="8" t="s">
        <v>36</v>
      </c>
      <c r="E82" s="7" t="s">
        <v>93</v>
      </c>
      <c r="F82" s="7" t="n">
        <v>1</v>
      </c>
      <c r="G82" s="7" t="s">
        <v>61</v>
      </c>
      <c r="H82" s="7"/>
      <c r="I82" s="7" t="s">
        <v>268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94560"/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58"/>
    <col collapsed="false" customWidth="true" hidden="false" outlineLevel="0" max="4" min="4" style="0" width="20"/>
  </cols>
  <sheetData>
    <row r="1" customFormat="false" ht="17.35" hidden="false" customHeight="false" outlineLevel="0" collapsed="false">
      <c r="A1" s="12" t="s">
        <v>269</v>
      </c>
      <c r="B1" s="12"/>
      <c r="C1" s="12"/>
      <c r="D1" s="12"/>
    </row>
    <row r="3" customFormat="false" ht="15" hidden="false" customHeight="false" outlineLevel="0" collapsed="false">
      <c r="A3" s="3" t="s">
        <v>270</v>
      </c>
      <c r="B3" s="3" t="s">
        <v>271</v>
      </c>
      <c r="C3" s="3" t="s">
        <v>272</v>
      </c>
      <c r="D3" s="3" t="s">
        <v>2</v>
      </c>
    </row>
    <row r="4" customFormat="false" ht="15" hidden="false" customHeight="false" outlineLevel="0" collapsed="false">
      <c r="A4" s="7" t="s">
        <v>273</v>
      </c>
      <c r="B4" s="7" t="s">
        <v>274</v>
      </c>
      <c r="C4" s="7" t="s">
        <v>275</v>
      </c>
      <c r="D4" s="7" t="s">
        <v>276</v>
      </c>
    </row>
    <row r="5" customFormat="false" ht="15" hidden="false" customHeight="false" outlineLevel="0" collapsed="false">
      <c r="A5" s="7" t="s">
        <v>277</v>
      </c>
      <c r="B5" s="7" t="s">
        <v>278</v>
      </c>
      <c r="C5" s="7" t="s">
        <v>279</v>
      </c>
      <c r="D5" s="7" t="s">
        <v>38</v>
      </c>
    </row>
    <row r="6" customFormat="false" ht="23.85" hidden="false" customHeight="false" outlineLevel="0" collapsed="false">
      <c r="A6" s="7" t="s">
        <v>280</v>
      </c>
      <c r="B6" s="7" t="s">
        <v>281</v>
      </c>
      <c r="C6" s="7" t="s">
        <v>282</v>
      </c>
      <c r="D6" s="7" t="s">
        <v>38</v>
      </c>
    </row>
    <row r="7" customFormat="false" ht="15" hidden="false" customHeight="false" outlineLevel="0" collapsed="false">
      <c r="A7" s="7" t="s">
        <v>283</v>
      </c>
      <c r="B7" s="7" t="s">
        <v>278</v>
      </c>
      <c r="C7" s="7" t="s">
        <v>284</v>
      </c>
      <c r="D7" s="7" t="s">
        <v>38</v>
      </c>
    </row>
    <row r="8" customFormat="false" ht="15" hidden="false" customHeight="false" outlineLevel="0" collapsed="false">
      <c r="A8" s="7" t="s">
        <v>285</v>
      </c>
      <c r="B8" s="7" t="s">
        <v>286</v>
      </c>
      <c r="C8" s="7" t="s">
        <v>287</v>
      </c>
      <c r="D8" s="7" t="s">
        <v>38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1C40F"/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55"/>
    <col collapsed="false" customWidth="true" hidden="false" outlineLevel="0" max="5" min="5" style="0" width="16"/>
  </cols>
  <sheetData>
    <row r="1" customFormat="false" ht="17.35" hidden="false" customHeight="false" outlineLevel="0" collapsed="false">
      <c r="A1" s="12" t="s">
        <v>288</v>
      </c>
      <c r="B1" s="12"/>
      <c r="C1" s="12"/>
      <c r="D1" s="12"/>
      <c r="E1" s="12"/>
    </row>
    <row r="3" customFormat="false" ht="15" hidden="false" customHeight="false" outlineLevel="0" collapsed="false">
      <c r="A3" s="3" t="s">
        <v>289</v>
      </c>
      <c r="B3" s="3" t="s">
        <v>290</v>
      </c>
      <c r="C3" s="3" t="s">
        <v>291</v>
      </c>
      <c r="D3" s="3" t="s">
        <v>292</v>
      </c>
      <c r="E3" s="3" t="s">
        <v>293</v>
      </c>
    </row>
    <row r="4" customFormat="false" ht="23.85" hidden="false" customHeight="false" outlineLevel="0" collapsed="false">
      <c r="A4" s="7" t="s">
        <v>294</v>
      </c>
      <c r="B4" s="7" t="s">
        <v>278</v>
      </c>
      <c r="C4" s="7" t="s">
        <v>295</v>
      </c>
      <c r="D4" s="7" t="s">
        <v>296</v>
      </c>
      <c r="E4" s="7" t="s">
        <v>48</v>
      </c>
    </row>
    <row r="5" customFormat="false" ht="15" hidden="false" customHeight="false" outlineLevel="0" collapsed="false">
      <c r="A5" s="7" t="s">
        <v>297</v>
      </c>
      <c r="B5" s="7" t="s">
        <v>298</v>
      </c>
      <c r="C5" s="7" t="s">
        <v>278</v>
      </c>
      <c r="D5" s="7" t="s">
        <v>299</v>
      </c>
      <c r="E5" s="7" t="s">
        <v>38</v>
      </c>
    </row>
    <row r="6" customFormat="false" ht="15" hidden="false" customHeight="false" outlineLevel="0" collapsed="false">
      <c r="A6" s="7" t="s">
        <v>300</v>
      </c>
      <c r="B6" s="7" t="s">
        <v>278</v>
      </c>
      <c r="C6" s="7" t="s">
        <v>301</v>
      </c>
      <c r="D6" s="7" t="s">
        <v>302</v>
      </c>
      <c r="E6" s="7" t="s">
        <v>44</v>
      </c>
    </row>
    <row r="7" customFormat="false" ht="15" hidden="false" customHeight="false" outlineLevel="0" collapsed="false">
      <c r="A7" s="7" t="s">
        <v>303</v>
      </c>
      <c r="B7" s="7" t="s">
        <v>298</v>
      </c>
      <c r="C7" s="7" t="s">
        <v>295</v>
      </c>
      <c r="D7" s="7" t="s">
        <v>304</v>
      </c>
      <c r="E7" s="7" t="s">
        <v>41</v>
      </c>
    </row>
    <row r="8" customFormat="false" ht="15" hidden="false" customHeight="false" outlineLevel="0" collapsed="false">
      <c r="A8" s="7" t="s">
        <v>305</v>
      </c>
      <c r="B8" s="7" t="s">
        <v>301</v>
      </c>
      <c r="C8" s="7" t="s">
        <v>298</v>
      </c>
      <c r="D8" s="7" t="s">
        <v>306</v>
      </c>
      <c r="E8" s="7" t="s">
        <v>48</v>
      </c>
    </row>
    <row r="9" customFormat="false" ht="15" hidden="false" customHeight="false" outlineLevel="0" collapsed="false">
      <c r="A9" s="7" t="s">
        <v>307</v>
      </c>
      <c r="B9" s="7" t="s">
        <v>278</v>
      </c>
      <c r="C9" s="7" t="s">
        <v>278</v>
      </c>
      <c r="D9" s="7" t="s">
        <v>308</v>
      </c>
      <c r="E9" s="7" t="s">
        <v>38</v>
      </c>
    </row>
    <row r="10" customFormat="false" ht="15" hidden="false" customHeight="false" outlineLevel="0" collapsed="false">
      <c r="A10" s="7" t="s">
        <v>309</v>
      </c>
      <c r="B10" s="7" t="s">
        <v>278</v>
      </c>
      <c r="C10" s="7" t="s">
        <v>295</v>
      </c>
      <c r="D10" s="7" t="s">
        <v>310</v>
      </c>
      <c r="E10" s="7" t="s">
        <v>311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2026-03-24T17:13:22Z</dcterms:created>
  <dc:creator>openpyxl</dc:creator>
  <dc:description/>
  <dc:language>en-US</dc:language>
  <cp:lastModifiedBy/>
  <dcterms:modified xsi:type="dcterms:W3CDTF">2026-03-24T17:13:22Z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